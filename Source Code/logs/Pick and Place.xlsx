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Yolov11-seg Skripsi\logs\"/>
    </mc:Choice>
  </mc:AlternateContent>
  <xr:revisionPtr revIDLastSave="0" documentId="13_ncr:1_{4F2ADB96-A8A5-4023-BB44-9BEC4E40B2F3}" xr6:coauthVersionLast="47" xr6:coauthVersionMax="47" xr10:uidLastSave="{00000000-0000-0000-0000-000000000000}"/>
  <bookViews>
    <workbookView xWindow="-108" yWindow="-108" windowWidth="23256" windowHeight="12456" xr2:uid="{C817631F-9606-4BA0-8311-76A001E5FC6A}"/>
  </bookViews>
  <sheets>
    <sheet name="hasil_pick_place" sheetId="1" r:id="rId1"/>
  </sheets>
  <calcPr calcId="181029"/>
</workbook>
</file>

<file path=xl/calcChain.xml><?xml version="1.0" encoding="utf-8"?>
<calcChain xmlns="http://schemas.openxmlformats.org/spreadsheetml/2006/main">
  <c r="AW12" i="1" l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A12" i="1"/>
  <c r="AJ22" i="1"/>
  <c r="AA23" i="1"/>
  <c r="AA22" i="1"/>
  <c r="AA21" i="1"/>
  <c r="AA20" i="1"/>
  <c r="AA19" i="1"/>
  <c r="AA18" i="1"/>
  <c r="AA17" i="1"/>
  <c r="AA16" i="1"/>
  <c r="AA15" i="1"/>
  <c r="AA14" i="1"/>
  <c r="AA13" i="1"/>
  <c r="AA11" i="1"/>
  <c r="AA10" i="1"/>
  <c r="AA9" i="1"/>
  <c r="AA8" i="1"/>
  <c r="AA7" i="1"/>
  <c r="AA6" i="1"/>
  <c r="AA5" i="1"/>
  <c r="AA4" i="1"/>
  <c r="R4" i="1"/>
  <c r="R5" i="1"/>
  <c r="R6" i="1"/>
  <c r="R3" i="1"/>
  <c r="S3" i="1"/>
  <c r="S4" i="1"/>
  <c r="S5" i="1"/>
  <c r="S6" i="1"/>
  <c r="Q4" i="1"/>
  <c r="Q5" i="1"/>
  <c r="Q6" i="1"/>
  <c r="Q3" i="1"/>
  <c r="P4" i="1"/>
  <c r="P5" i="1"/>
  <c r="P6" i="1"/>
  <c r="P3" i="1"/>
  <c r="O6" i="1"/>
  <c r="O5" i="1"/>
  <c r="O4" i="1"/>
  <c r="O3" i="1"/>
  <c r="K18" i="1"/>
  <c r="K82" i="1"/>
  <c r="K11" i="1"/>
  <c r="K81" i="1"/>
  <c r="K63" i="1"/>
  <c r="K39" i="1"/>
  <c r="K65" i="1"/>
  <c r="K4" i="1"/>
  <c r="K5" i="1"/>
  <c r="K83" i="1" s="1"/>
  <c r="K6" i="1"/>
  <c r="K7" i="1"/>
  <c r="K8" i="1"/>
  <c r="K9" i="1"/>
  <c r="K10" i="1"/>
  <c r="K12" i="1"/>
  <c r="K13" i="1"/>
  <c r="K14" i="1"/>
  <c r="K15" i="1"/>
  <c r="K16" i="1"/>
  <c r="K17" i="1"/>
  <c r="K19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4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3" i="1"/>
  <c r="AA68" i="1"/>
  <c r="AA67" i="1"/>
  <c r="AA66" i="1"/>
  <c r="AA65" i="1"/>
  <c r="AA64" i="1"/>
  <c r="AB27" i="1"/>
  <c r="AB26" i="1"/>
  <c r="AB25" i="1"/>
  <c r="AR24" i="1" l="1"/>
  <c r="AA24" i="1"/>
  <c r="S7" i="1"/>
  <c r="R7" i="1"/>
</calcChain>
</file>

<file path=xl/sharedStrings.xml><?xml version="1.0" encoding="utf-8"?>
<sst xmlns="http://schemas.openxmlformats.org/spreadsheetml/2006/main" count="201" uniqueCount="34">
  <si>
    <t>Kelas</t>
  </si>
  <si>
    <t>Touch Current</t>
  </si>
  <si>
    <t>Pick X</t>
  </si>
  <si>
    <t>Pick Y</t>
  </si>
  <si>
    <t>Latency YOLO (ms)</t>
  </si>
  <si>
    <t>Latency Decision (ms)</t>
  </si>
  <si>
    <t>Latency Serial (ms)</t>
  </si>
  <si>
    <t>Latency Total (ms)</t>
  </si>
  <si>
    <t>Cycle Time (ms)</t>
  </si>
  <si>
    <t>Status</t>
  </si>
  <si>
    <t>Kaca</t>
  </si>
  <si>
    <t>Fail</t>
  </si>
  <si>
    <t>Success</t>
  </si>
  <si>
    <t>Kertas</t>
  </si>
  <si>
    <t>Logam</t>
  </si>
  <si>
    <t>Plastik</t>
  </si>
  <si>
    <t>Yolo</t>
  </si>
  <si>
    <t>Serial</t>
  </si>
  <si>
    <t>Detection</t>
  </si>
  <si>
    <t>Total</t>
  </si>
  <si>
    <t>cycle time</t>
  </si>
  <si>
    <t>No.</t>
  </si>
  <si>
    <t>Estimasi (mm)</t>
  </si>
  <si>
    <t>Aktual (mm)</t>
  </si>
  <si>
    <t>X</t>
  </si>
  <si>
    <t>Y</t>
  </si>
  <si>
    <t>Encludian Error</t>
  </si>
  <si>
    <r>
      <t xml:space="preserve">Error </t>
    </r>
    <r>
      <rPr>
        <sz val="10"/>
        <color theme="1"/>
        <rFont val="Times New Roman"/>
        <family val="1"/>
      </rPr>
      <t>(mm)</t>
    </r>
  </si>
  <si>
    <t>Succes Rate</t>
  </si>
  <si>
    <t xml:space="preserve">Rata-rata </t>
  </si>
  <si>
    <t>0.7532342040931199.27%97.38%98.32%0.02516.17</t>
  </si>
  <si>
    <t>KINEMATIK ERROR</t>
  </si>
  <si>
    <t>Kartesian (mm)</t>
  </si>
  <si>
    <t>Robot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</si>
</sst>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2" fontId="0" fillId="0" borderId="0" xfId="0" applyNumberFormat="1"/>
    <xf numFmtId="0" fontId="18" fillId="0" borderId="14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/>
    </xf>
    <xf numFmtId="2" fontId="18" fillId="0" borderId="1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1" fillId="0" borderId="17" xfId="0" applyFont="1" applyBorder="1" applyAlignment="1">
      <alignment horizontal="center"/>
    </xf>
    <xf numFmtId="164" fontId="21" fillId="0" borderId="17" xfId="42" applyNumberFormat="1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0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A8EF-E0D2-4890-ADAF-4BE4887A05D5}">
  <dimension ref="A1:AW83"/>
  <sheetViews>
    <sheetView tabSelected="1" topLeftCell="AJ1" zoomScale="92" zoomScaleNormal="172" workbookViewId="0">
      <selection activeCell="AW25" sqref="AW25"/>
    </sheetView>
  </sheetViews>
  <sheetFormatPr defaultRowHeight="15.6" x14ac:dyDescent="0.3"/>
  <cols>
    <col min="1" max="1" width="7.109375" style="7" bestFit="1" customWidth="1"/>
    <col min="2" max="2" width="14.109375" style="7" bestFit="1" customWidth="1"/>
    <col min="3" max="3" width="8.77734375" style="7" bestFit="1" customWidth="1"/>
    <col min="4" max="4" width="8" style="7" bestFit="1" customWidth="1"/>
    <col min="5" max="5" width="19.21875" style="7" bestFit="1" customWidth="1"/>
    <col min="6" max="6" width="21" style="7" bestFit="1" customWidth="1"/>
    <col min="7" max="7" width="18.44140625" style="7" bestFit="1" customWidth="1"/>
    <col min="8" max="8" width="17.77734375" style="7" bestFit="1" customWidth="1"/>
    <col min="9" max="9" width="15.88671875" style="7" bestFit="1" customWidth="1"/>
    <col min="10" max="10" width="8" style="7" bestFit="1" customWidth="1"/>
    <col min="11" max="11" width="11.6640625" style="7" bestFit="1" customWidth="1"/>
    <col min="18" max="18" width="9.5546875" bestFit="1" customWidth="1"/>
    <col min="27" max="27" width="11.44140625" bestFit="1" customWidth="1"/>
  </cols>
  <sheetData>
    <row r="1" spans="1:49" ht="15" thickBot="1" x14ac:dyDescent="0.3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AM1" s="9" t="s">
        <v>31</v>
      </c>
      <c r="AN1" s="9"/>
      <c r="AO1" s="9"/>
      <c r="AP1" s="9"/>
      <c r="AQ1" s="9"/>
      <c r="AR1" s="9"/>
    </row>
    <row r="2" spans="1:49" ht="16.2" customHeight="1" thickBo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28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V2" s="10" t="s">
        <v>21</v>
      </c>
      <c r="W2" s="12" t="s">
        <v>22</v>
      </c>
      <c r="X2" s="13"/>
      <c r="Y2" s="12" t="s">
        <v>23</v>
      </c>
      <c r="Z2" s="13"/>
      <c r="AA2" s="14" t="s">
        <v>27</v>
      </c>
      <c r="AD2" s="4">
        <v>338</v>
      </c>
      <c r="AE2" s="4">
        <v>209</v>
      </c>
      <c r="AF2" s="4">
        <v>184.59</v>
      </c>
      <c r="AG2" s="4">
        <v>-5.8</v>
      </c>
      <c r="AH2" s="4">
        <v>183</v>
      </c>
      <c r="AI2" s="4">
        <v>-7</v>
      </c>
      <c r="AJ2" s="4">
        <v>1.99</v>
      </c>
      <c r="AM2" s="10" t="s">
        <v>21</v>
      </c>
      <c r="AN2" s="12" t="s">
        <v>32</v>
      </c>
      <c r="AO2" s="13"/>
      <c r="AP2" s="12" t="s">
        <v>33</v>
      </c>
      <c r="AQ2" s="13"/>
      <c r="AR2" s="14" t="s">
        <v>27</v>
      </c>
    </row>
    <row r="3" spans="1:49" ht="16.2" thickBot="1" x14ac:dyDescent="0.35">
      <c r="A3" s="7" t="s">
        <v>10</v>
      </c>
      <c r="B3" s="7">
        <v>1.212</v>
      </c>
      <c r="C3" s="7">
        <v>-113.5</v>
      </c>
      <c r="D3" s="7">
        <v>236.86</v>
      </c>
      <c r="E3" s="7">
        <v>44.7</v>
      </c>
      <c r="F3" s="7">
        <v>14.8</v>
      </c>
      <c r="G3" s="7">
        <v>109.2</v>
      </c>
      <c r="H3" s="7">
        <v>168.7</v>
      </c>
      <c r="I3" s="7">
        <v>14009</v>
      </c>
      <c r="J3" s="7" t="s">
        <v>12</v>
      </c>
      <c r="K3" s="7">
        <f t="shared" ref="K3:K19" si="0">IF(J:J="Success",1,IF(J:J="Fail",0,""))</f>
        <v>1</v>
      </c>
      <c r="N3" t="s">
        <v>10</v>
      </c>
      <c r="O3">
        <f>AVERAGE(E63:E82)</f>
        <v>38.384999999999998</v>
      </c>
      <c r="P3">
        <f ca="1">AVERAGE(OFFSET($F$3,(ROW()-ROW($F$3:$F$22))*20,0,20,1))</f>
        <v>11.734999999999999</v>
      </c>
      <c r="Q3">
        <f ca="1">AVERAGE(OFFSET($G$3,(ROW()-ROW($G$3:$G$22))*20,0,20,1))</f>
        <v>108.26500000000001</v>
      </c>
      <c r="R3">
        <f ca="1">AVERAGE(OFFSET($H$3,(ROW()-ROW($H$3:$H$22))*20,0,20,1))</f>
        <v>157.05499999999998</v>
      </c>
      <c r="S3" s="1">
        <f ca="1">AVERAGE(OFFSET($I$3,(ROW()-ROW($I$3:$I$22))*20,0,20,1))</f>
        <v>14279.05</v>
      </c>
      <c r="V3" s="11"/>
      <c r="W3" s="2" t="s">
        <v>24</v>
      </c>
      <c r="X3" s="2" t="s">
        <v>25</v>
      </c>
      <c r="Y3" s="2" t="s">
        <v>24</v>
      </c>
      <c r="Z3" s="2" t="s">
        <v>25</v>
      </c>
      <c r="AA3" s="15"/>
      <c r="AD3" s="4">
        <v>375</v>
      </c>
      <c r="AE3" s="4">
        <v>181</v>
      </c>
      <c r="AF3" s="4">
        <v>216.13</v>
      </c>
      <c r="AG3" s="4">
        <v>-50.42</v>
      </c>
      <c r="AH3" s="4">
        <v>218</v>
      </c>
      <c r="AI3" s="4">
        <v>-50</v>
      </c>
      <c r="AJ3" s="4">
        <v>1.92</v>
      </c>
      <c r="AM3" s="11"/>
      <c r="AN3" s="2" t="s">
        <v>24</v>
      </c>
      <c r="AO3" s="2" t="s">
        <v>25</v>
      </c>
      <c r="AP3" s="2" t="s">
        <v>24</v>
      </c>
      <c r="AQ3" s="2" t="s">
        <v>25</v>
      </c>
      <c r="AR3" s="15"/>
    </row>
    <row r="4" spans="1:49" ht="16.2" thickBot="1" x14ac:dyDescent="0.35">
      <c r="A4" s="7" t="s">
        <v>10</v>
      </c>
      <c r="B4" s="7">
        <v>1.28</v>
      </c>
      <c r="C4" s="7">
        <v>-65.19</v>
      </c>
      <c r="D4" s="7">
        <v>172.69</v>
      </c>
      <c r="E4" s="7">
        <v>37.6</v>
      </c>
      <c r="F4" s="7">
        <v>16.8</v>
      </c>
      <c r="G4" s="7">
        <v>98.5</v>
      </c>
      <c r="H4" s="7">
        <v>152.9</v>
      </c>
      <c r="I4" s="7">
        <v>14681</v>
      </c>
      <c r="J4" s="7" t="s">
        <v>12</v>
      </c>
      <c r="K4" s="7">
        <f t="shared" si="0"/>
        <v>1</v>
      </c>
      <c r="N4" t="s">
        <v>13</v>
      </c>
      <c r="O4">
        <f>AVERAGE(E23:E42)</f>
        <v>36.875</v>
      </c>
      <c r="P4">
        <f t="shared" ref="P4:P6" ca="1" si="1">AVERAGE(OFFSET($F$3,(ROW()-ROW($F$3:$F$22))*20,0,20,1))</f>
        <v>10.93</v>
      </c>
      <c r="Q4">
        <f t="shared" ref="Q4:Q6" ca="1" si="2">AVERAGE(OFFSET($G$3,(ROW()-ROW($G$3:$G$22))*20,0,20,1))</f>
        <v>95.825000000000017</v>
      </c>
      <c r="R4">
        <f t="shared" ref="R4:R6" ca="1" si="3">AVERAGE(OFFSET($H$3,(ROW()-ROW($H$3:$H$22))*20,0,20,1))</f>
        <v>141.57999999999998</v>
      </c>
      <c r="S4" s="1">
        <f t="shared" ref="S4:S6" ca="1" si="4">AVERAGE(OFFSET($I$3,(ROW()-ROW($I$3:$I$22))*20,0,20,1))</f>
        <v>12655.15</v>
      </c>
      <c r="V4" s="3">
        <v>1</v>
      </c>
      <c r="W4" s="2">
        <v>-53</v>
      </c>
      <c r="X4" s="2">
        <v>228.2</v>
      </c>
      <c r="Y4" s="2">
        <v>-58</v>
      </c>
      <c r="Z4" s="2">
        <v>232</v>
      </c>
      <c r="AA4" s="5">
        <f>SQRT((Y4-W4)^2+(Z4-X4)^2)</f>
        <v>6.2801273872430396</v>
      </c>
      <c r="AD4" s="4">
        <v>289</v>
      </c>
      <c r="AE4" s="4">
        <v>166</v>
      </c>
      <c r="AF4" s="4">
        <v>237.19</v>
      </c>
      <c r="AG4" s="4">
        <v>50.78</v>
      </c>
      <c r="AH4" s="4">
        <v>239</v>
      </c>
      <c r="AI4" s="4">
        <v>48</v>
      </c>
      <c r="AJ4" s="4">
        <v>3.32</v>
      </c>
      <c r="AM4" s="3">
        <v>1</v>
      </c>
      <c r="AN4" s="2">
        <v>200</v>
      </c>
      <c r="AO4" s="2">
        <v>0</v>
      </c>
      <c r="AP4" s="2">
        <v>199</v>
      </c>
      <c r="AQ4" s="2">
        <v>0.5</v>
      </c>
      <c r="AR4" s="5">
        <f>SQRT((AP4-AN4)^2+(AQ4-AO4)^2)</f>
        <v>1.1180339887498949</v>
      </c>
    </row>
    <row r="5" spans="1:49" ht="16.2" thickBot="1" x14ac:dyDescent="0.35">
      <c r="A5" s="7" t="s">
        <v>10</v>
      </c>
      <c r="B5" s="7">
        <v>1.1200000000000001</v>
      </c>
      <c r="C5" s="7">
        <v>-45.39</v>
      </c>
      <c r="D5" s="7">
        <v>241.57</v>
      </c>
      <c r="E5" s="7">
        <v>38</v>
      </c>
      <c r="F5" s="7">
        <v>11.3</v>
      </c>
      <c r="G5" s="7">
        <v>5.6</v>
      </c>
      <c r="H5" s="7">
        <v>54.9</v>
      </c>
      <c r="I5" s="7">
        <v>13666</v>
      </c>
      <c r="J5" s="7" t="s">
        <v>12</v>
      </c>
      <c r="K5" s="7">
        <f t="shared" si="0"/>
        <v>1</v>
      </c>
      <c r="N5" t="s">
        <v>15</v>
      </c>
      <c r="O5">
        <f>AVERAGE(E3:E22)</f>
        <v>37.055000000000007</v>
      </c>
      <c r="P5">
        <f t="shared" ca="1" si="1"/>
        <v>10.939999999999998</v>
      </c>
      <c r="Q5">
        <f t="shared" ca="1" si="2"/>
        <v>111.17999999999999</v>
      </c>
      <c r="R5">
        <f t="shared" ca="1" si="3"/>
        <v>159.76</v>
      </c>
      <c r="S5" s="1">
        <f t="shared" ca="1" si="4"/>
        <v>12016.2</v>
      </c>
      <c r="V5" s="3">
        <v>2</v>
      </c>
      <c r="W5" s="2">
        <v>-56.3</v>
      </c>
      <c r="X5" s="2">
        <v>164.2</v>
      </c>
      <c r="Y5" s="2">
        <v>-60.3</v>
      </c>
      <c r="Z5" s="2">
        <v>164</v>
      </c>
      <c r="AA5" s="5">
        <f t="shared" ref="AA5:AA23" si="5">SQRT((Y5-W5)^2+(Z5-X5)^2)</f>
        <v>4.0049968789001564</v>
      </c>
      <c r="AD5" s="4">
        <v>344</v>
      </c>
      <c r="AE5" s="4">
        <v>150</v>
      </c>
      <c r="AF5" s="4">
        <v>253.59</v>
      </c>
      <c r="AG5" s="4">
        <v>-14.92</v>
      </c>
      <c r="AH5" s="4">
        <v>251</v>
      </c>
      <c r="AI5" s="4">
        <v>-16</v>
      </c>
      <c r="AJ5" s="4">
        <v>2.81</v>
      </c>
      <c r="AM5" s="3">
        <v>2</v>
      </c>
      <c r="AN5" s="2">
        <v>-200</v>
      </c>
      <c r="AO5" s="2">
        <v>0</v>
      </c>
      <c r="AP5" s="2">
        <v>-201</v>
      </c>
      <c r="AQ5" s="2">
        <v>-1</v>
      </c>
      <c r="AR5" s="5">
        <f t="shared" ref="AR5:AR11" si="6">SQRT((AP5-AN5)^2+(AQ5-AO5)^2)</f>
        <v>1.4142135623730951</v>
      </c>
    </row>
    <row r="6" spans="1:49" ht="16.2" thickBot="1" x14ac:dyDescent="0.35">
      <c r="A6" s="7" t="s">
        <v>10</v>
      </c>
      <c r="B6" s="7">
        <v>1.018</v>
      </c>
      <c r="C6" s="7">
        <v>-122.48</v>
      </c>
      <c r="D6" s="7">
        <v>229.5</v>
      </c>
      <c r="E6" s="7">
        <v>40.700000000000003</v>
      </c>
      <c r="F6" s="7">
        <v>12.4</v>
      </c>
      <c r="G6" s="7">
        <v>95.4</v>
      </c>
      <c r="H6" s="7">
        <v>148.5</v>
      </c>
      <c r="I6" s="7">
        <v>14060</v>
      </c>
      <c r="J6" s="7" t="s">
        <v>12</v>
      </c>
      <c r="K6" s="7">
        <f t="shared" si="0"/>
        <v>1</v>
      </c>
      <c r="N6" t="s">
        <v>14</v>
      </c>
      <c r="O6">
        <f>AVERAGE(E43:E62)</f>
        <v>37.64</v>
      </c>
      <c r="P6">
        <f t="shared" ca="1" si="1"/>
        <v>11.395000000000001</v>
      </c>
      <c r="Q6">
        <f t="shared" ca="1" si="2"/>
        <v>92.110000000000014</v>
      </c>
      <c r="R6">
        <f t="shared" ca="1" si="3"/>
        <v>141.88999999999999</v>
      </c>
      <c r="S6" s="1">
        <f t="shared" ca="1" si="4"/>
        <v>11258.05</v>
      </c>
      <c r="V6" s="3">
        <v>3</v>
      </c>
      <c r="W6" s="2">
        <v>-85.5</v>
      </c>
      <c r="X6" s="2">
        <v>176.5</v>
      </c>
      <c r="Y6" s="2">
        <v>-90</v>
      </c>
      <c r="Z6" s="2">
        <v>178</v>
      </c>
      <c r="AA6" s="5">
        <f t="shared" si="5"/>
        <v>4.7434164902525691</v>
      </c>
      <c r="AD6" s="4">
        <v>344</v>
      </c>
      <c r="AE6" s="4">
        <v>149</v>
      </c>
      <c r="AF6" s="4">
        <v>254.76</v>
      </c>
      <c r="AG6" s="4">
        <v>-14.96</v>
      </c>
      <c r="AH6" s="4">
        <v>254</v>
      </c>
      <c r="AI6" s="4">
        <v>-14</v>
      </c>
      <c r="AJ6" s="4">
        <v>1.22</v>
      </c>
      <c r="AM6" s="3">
        <v>3</v>
      </c>
      <c r="AN6" s="2">
        <v>-200</v>
      </c>
      <c r="AO6" s="2">
        <v>20</v>
      </c>
      <c r="AP6" s="2">
        <v>-201</v>
      </c>
      <c r="AQ6" s="2">
        <v>18</v>
      </c>
      <c r="AR6" s="5">
        <f t="shared" si="6"/>
        <v>2.2360679774997898</v>
      </c>
    </row>
    <row r="7" spans="1:49" ht="16.2" thickBot="1" x14ac:dyDescent="0.35">
      <c r="A7" s="7" t="s">
        <v>10</v>
      </c>
      <c r="B7" s="7">
        <v>1.01</v>
      </c>
      <c r="C7" s="7">
        <v>-63.31</v>
      </c>
      <c r="D7" s="7">
        <v>192.53</v>
      </c>
      <c r="E7" s="7">
        <v>37.799999999999997</v>
      </c>
      <c r="F7" s="7">
        <v>14.2</v>
      </c>
      <c r="G7" s="7">
        <v>103.3</v>
      </c>
      <c r="H7" s="7">
        <v>155.30000000000001</v>
      </c>
      <c r="I7" s="7">
        <v>14392</v>
      </c>
      <c r="J7" s="7" t="s">
        <v>12</v>
      </c>
      <c r="K7" s="7">
        <f t="shared" si="0"/>
        <v>1</v>
      </c>
      <c r="R7">
        <f ca="1">AVERAGE(R3:R6)</f>
        <v>150.07124999999999</v>
      </c>
      <c r="S7" s="1">
        <f ca="1">AVERAGE(S3:S6)</f>
        <v>12552.112499999999</v>
      </c>
      <c r="V7" s="3">
        <v>4</v>
      </c>
      <c r="W7" s="2">
        <v>-150.80000000000001</v>
      </c>
      <c r="X7" s="2">
        <v>225</v>
      </c>
      <c r="Y7" s="2">
        <v>-153</v>
      </c>
      <c r="Z7" s="2">
        <v>225</v>
      </c>
      <c r="AA7" s="5">
        <f t="shared" si="5"/>
        <v>2.1999999999999886</v>
      </c>
      <c r="AD7" s="4">
        <v>317</v>
      </c>
      <c r="AE7" s="4">
        <v>165</v>
      </c>
      <c r="AF7" s="4">
        <v>237.21</v>
      </c>
      <c r="AG7" s="4">
        <v>17.5</v>
      </c>
      <c r="AH7" s="4">
        <v>240</v>
      </c>
      <c r="AI7" s="4">
        <v>16</v>
      </c>
      <c r="AJ7" s="4">
        <v>3.17</v>
      </c>
      <c r="AM7" s="3">
        <v>4</v>
      </c>
      <c r="AN7" s="2">
        <v>180</v>
      </c>
      <c r="AO7" s="2">
        <v>200</v>
      </c>
      <c r="AP7" s="2">
        <v>182</v>
      </c>
      <c r="AQ7" s="2">
        <v>201</v>
      </c>
      <c r="AR7" s="5">
        <f t="shared" si="6"/>
        <v>2.2360679774997898</v>
      </c>
      <c r="AW7">
        <v>77</v>
      </c>
    </row>
    <row r="8" spans="1:49" ht="16.2" thickBot="1" x14ac:dyDescent="0.35">
      <c r="A8" s="7" t="s">
        <v>10</v>
      </c>
      <c r="B8" s="7">
        <v>1.0529999999999999</v>
      </c>
      <c r="C8" s="7">
        <v>-106.18</v>
      </c>
      <c r="D8" s="7">
        <v>235.06</v>
      </c>
      <c r="E8" s="7">
        <v>40.6</v>
      </c>
      <c r="F8" s="7">
        <v>14.7</v>
      </c>
      <c r="G8" s="7">
        <v>179.7</v>
      </c>
      <c r="H8" s="7">
        <v>235</v>
      </c>
      <c r="I8" s="7">
        <v>13963</v>
      </c>
      <c r="J8" s="7" t="s">
        <v>12</v>
      </c>
      <c r="K8" s="7">
        <f t="shared" si="0"/>
        <v>1</v>
      </c>
      <c r="V8" s="3">
        <v>5</v>
      </c>
      <c r="W8" s="2">
        <v>-181.1</v>
      </c>
      <c r="X8" s="2">
        <v>172.2</v>
      </c>
      <c r="Y8" s="2">
        <v>-182</v>
      </c>
      <c r="Z8" s="2">
        <v>174</v>
      </c>
      <c r="AA8" s="5">
        <f t="shared" si="5"/>
        <v>2.0124611797498235</v>
      </c>
      <c r="AD8" s="4">
        <v>369</v>
      </c>
      <c r="AE8" s="4">
        <v>153</v>
      </c>
      <c r="AF8" s="4">
        <v>249.05</v>
      </c>
      <c r="AG8" s="4">
        <v>-44.2</v>
      </c>
      <c r="AH8" s="4">
        <v>251</v>
      </c>
      <c r="AI8" s="4">
        <v>-43</v>
      </c>
      <c r="AJ8" s="4">
        <v>2.29</v>
      </c>
      <c r="AM8" s="3">
        <v>5</v>
      </c>
      <c r="AN8" s="2">
        <v>-180</v>
      </c>
      <c r="AO8" s="2">
        <v>200</v>
      </c>
      <c r="AP8" s="2">
        <v>-182</v>
      </c>
      <c r="AQ8" s="2">
        <v>200.5</v>
      </c>
      <c r="AR8" s="5">
        <f t="shared" si="6"/>
        <v>2.0615528128088303</v>
      </c>
      <c r="AW8">
        <v>75</v>
      </c>
    </row>
    <row r="9" spans="1:49" ht="16.2" thickBot="1" x14ac:dyDescent="0.35">
      <c r="A9" s="7" t="s">
        <v>10</v>
      </c>
      <c r="B9" s="7">
        <v>0.98599999999999999</v>
      </c>
      <c r="C9" s="7">
        <v>-114.58</v>
      </c>
      <c r="D9" s="7">
        <v>183.74</v>
      </c>
      <c r="E9" s="7">
        <v>33.6</v>
      </c>
      <c r="F9" s="7">
        <v>14.8</v>
      </c>
      <c r="G9" s="7">
        <v>95.1</v>
      </c>
      <c r="H9" s="7">
        <v>143.5</v>
      </c>
      <c r="I9" s="7">
        <v>14625</v>
      </c>
      <c r="J9" s="7" t="s">
        <v>12</v>
      </c>
      <c r="K9" s="7">
        <f t="shared" si="0"/>
        <v>1</v>
      </c>
      <c r="V9" s="3">
        <v>6</v>
      </c>
      <c r="W9" s="2">
        <v>-181.4</v>
      </c>
      <c r="X9" s="2">
        <v>226.4</v>
      </c>
      <c r="Y9" s="2">
        <v>-183</v>
      </c>
      <c r="Z9" s="2">
        <v>228</v>
      </c>
      <c r="AA9" s="5">
        <f t="shared" si="5"/>
        <v>2.2627416997969441</v>
      </c>
      <c r="AD9" s="4">
        <v>321</v>
      </c>
      <c r="AE9" s="4">
        <v>153</v>
      </c>
      <c r="AF9" s="4">
        <v>248.73</v>
      </c>
      <c r="AG9" s="4">
        <v>12.38</v>
      </c>
      <c r="AH9" s="4">
        <v>245</v>
      </c>
      <c r="AI9" s="4">
        <v>15</v>
      </c>
      <c r="AJ9" s="4">
        <v>4.5599999999999996</v>
      </c>
      <c r="AM9" s="3">
        <v>6</v>
      </c>
      <c r="AN9" s="2">
        <v>150</v>
      </c>
      <c r="AO9" s="2">
        <v>240</v>
      </c>
      <c r="AP9" s="2">
        <v>152</v>
      </c>
      <c r="AQ9" s="2">
        <v>240.5</v>
      </c>
      <c r="AR9" s="5">
        <f t="shared" si="6"/>
        <v>2.0615528128088303</v>
      </c>
      <c r="AW9">
        <v>100</v>
      </c>
    </row>
    <row r="10" spans="1:49" ht="16.2" thickBot="1" x14ac:dyDescent="0.35">
      <c r="A10" s="7" t="s">
        <v>10</v>
      </c>
      <c r="B10" s="7">
        <v>1.2509999999999999</v>
      </c>
      <c r="C10" s="7">
        <v>-121.06</v>
      </c>
      <c r="D10" s="7">
        <v>178.95</v>
      </c>
      <c r="E10" s="7">
        <v>38.299999999999997</v>
      </c>
      <c r="F10" s="7">
        <v>11.3</v>
      </c>
      <c r="G10" s="7">
        <v>162.19999999999999</v>
      </c>
      <c r="H10" s="7">
        <v>211.8</v>
      </c>
      <c r="I10" s="7">
        <v>14745</v>
      </c>
      <c r="J10" s="7" t="s">
        <v>12</v>
      </c>
      <c r="K10" s="7">
        <f t="shared" si="0"/>
        <v>1</v>
      </c>
      <c r="V10" s="3">
        <v>7</v>
      </c>
      <c r="W10" s="2">
        <v>-128.19999999999999</v>
      </c>
      <c r="X10" s="2">
        <v>204.7</v>
      </c>
      <c r="Y10" s="2">
        <v>-127</v>
      </c>
      <c r="Z10" s="2">
        <v>208</v>
      </c>
      <c r="AA10" s="5">
        <f t="shared" si="5"/>
        <v>3.5114099732158945</v>
      </c>
      <c r="AD10" s="4">
        <v>375</v>
      </c>
      <c r="AE10" s="4">
        <v>154</v>
      </c>
      <c r="AF10" s="4">
        <v>247.63</v>
      </c>
      <c r="AG10" s="4">
        <v>-51.2</v>
      </c>
      <c r="AH10" s="4">
        <v>246</v>
      </c>
      <c r="AI10" s="4">
        <v>-49</v>
      </c>
      <c r="AJ10" s="4">
        <v>2.74</v>
      </c>
      <c r="AM10" s="3">
        <v>7</v>
      </c>
      <c r="AN10" s="2">
        <v>-150</v>
      </c>
      <c r="AO10" s="2">
        <v>240</v>
      </c>
      <c r="AP10" s="2">
        <v>-151</v>
      </c>
      <c r="AQ10" s="2">
        <v>241</v>
      </c>
      <c r="AR10" s="5">
        <f t="shared" si="6"/>
        <v>1.4142135623730951</v>
      </c>
      <c r="AW10">
        <v>87</v>
      </c>
    </row>
    <row r="11" spans="1:49" ht="16.2" thickBot="1" x14ac:dyDescent="0.35">
      <c r="A11" s="7" t="s">
        <v>10</v>
      </c>
      <c r="B11" s="7">
        <v>0.92100000000000004</v>
      </c>
      <c r="C11" s="7">
        <v>-129</v>
      </c>
      <c r="D11" s="7">
        <v>217.97</v>
      </c>
      <c r="E11" s="7">
        <v>35.1</v>
      </c>
      <c r="F11" s="7">
        <v>7.5</v>
      </c>
      <c r="G11" s="7">
        <v>90.5</v>
      </c>
      <c r="H11" s="7">
        <v>133.1</v>
      </c>
      <c r="I11" s="7">
        <v>14233</v>
      </c>
      <c r="J11" s="7" t="s">
        <v>12</v>
      </c>
      <c r="K11" s="7">
        <f t="shared" si="0"/>
        <v>1</v>
      </c>
      <c r="N11" t="s">
        <v>30</v>
      </c>
      <c r="V11" s="3">
        <v>8</v>
      </c>
      <c r="W11" s="2">
        <v>-198.5</v>
      </c>
      <c r="X11" s="2">
        <v>164.5</v>
      </c>
      <c r="Y11" s="2">
        <v>-194</v>
      </c>
      <c r="Z11" s="2">
        <v>167</v>
      </c>
      <c r="AA11" s="5">
        <f t="shared" si="5"/>
        <v>5.1478150704935004</v>
      </c>
      <c r="AD11" s="4">
        <v>320</v>
      </c>
      <c r="AE11" s="4">
        <v>203</v>
      </c>
      <c r="AF11" s="4">
        <v>192.36</v>
      </c>
      <c r="AG11" s="4">
        <v>15.38</v>
      </c>
      <c r="AH11" s="4">
        <v>195</v>
      </c>
      <c r="AI11" s="4">
        <v>18</v>
      </c>
      <c r="AJ11" s="4">
        <v>3.72</v>
      </c>
      <c r="AM11" s="3">
        <v>8</v>
      </c>
      <c r="AN11" s="2">
        <v>130</v>
      </c>
      <c r="AO11" s="2">
        <v>180</v>
      </c>
      <c r="AP11" s="2">
        <v>130.5</v>
      </c>
      <c r="AQ11" s="2">
        <v>181</v>
      </c>
      <c r="AR11" s="5">
        <f t="shared" si="6"/>
        <v>1.1180339887498949</v>
      </c>
      <c r="AW11">
        <v>64</v>
      </c>
    </row>
    <row r="12" spans="1:49" ht="16.2" thickBot="1" x14ac:dyDescent="0.35">
      <c r="A12" s="7" t="s">
        <v>10</v>
      </c>
      <c r="B12" s="7">
        <v>1.0680000000000001</v>
      </c>
      <c r="C12" s="7">
        <v>-93.95</v>
      </c>
      <c r="D12" s="7">
        <v>233.17</v>
      </c>
      <c r="E12" s="7">
        <v>35.299999999999997</v>
      </c>
      <c r="F12" s="7">
        <v>11.1</v>
      </c>
      <c r="G12" s="7">
        <v>90.3</v>
      </c>
      <c r="H12" s="7">
        <v>136.69999999999999</v>
      </c>
      <c r="I12" s="7">
        <v>14126</v>
      </c>
      <c r="J12" s="7" t="s">
        <v>12</v>
      </c>
      <c r="K12" s="7">
        <f t="shared" si="0"/>
        <v>1</v>
      </c>
      <c r="V12" s="3">
        <v>9</v>
      </c>
      <c r="W12" s="2">
        <v>-143.5</v>
      </c>
      <c r="X12" s="2">
        <v>237.4</v>
      </c>
      <c r="Y12" s="2">
        <v>-148</v>
      </c>
      <c r="Z12" s="2">
        <v>240</v>
      </c>
      <c r="AA12" s="5">
        <f>SQRT((Y12-W12)^2+(Z12-X12)^2)</f>
        <v>5.1971145840745105</v>
      </c>
      <c r="AD12" s="4">
        <v>367</v>
      </c>
      <c r="AE12" s="4">
        <v>183</v>
      </c>
      <c r="AF12" s="4">
        <v>214.1</v>
      </c>
      <c r="AG12" s="4">
        <v>-40.94</v>
      </c>
      <c r="AH12" s="4">
        <v>214</v>
      </c>
      <c r="AI12" s="4">
        <v>-40</v>
      </c>
      <c r="AJ12" s="4">
        <v>0.94</v>
      </c>
      <c r="AM12" s="3">
        <v>9</v>
      </c>
      <c r="AN12" s="2">
        <v>-130</v>
      </c>
      <c r="AO12" s="2">
        <v>180</v>
      </c>
      <c r="AP12" s="2">
        <v>-132</v>
      </c>
      <c r="AQ12" s="2">
        <v>180.5</v>
      </c>
      <c r="AR12" s="5">
        <f>SQRT((AP12-AN12)^2+(AQ12-AO12)^2)</f>
        <v>2.0615528128088303</v>
      </c>
      <c r="AW12">
        <f>AVERAGE(AW7:AW11)</f>
        <v>80.599999999999994</v>
      </c>
    </row>
    <row r="13" spans="1:49" ht="16.2" thickBot="1" x14ac:dyDescent="0.35">
      <c r="A13" s="7" t="s">
        <v>10</v>
      </c>
      <c r="B13" s="7">
        <v>1.153</v>
      </c>
      <c r="C13" s="7">
        <v>-117.78</v>
      </c>
      <c r="D13" s="7">
        <v>190.41</v>
      </c>
      <c r="E13" s="7">
        <v>39.5</v>
      </c>
      <c r="F13" s="7">
        <v>8.5</v>
      </c>
      <c r="G13" s="7">
        <v>4.7</v>
      </c>
      <c r="H13" s="7">
        <v>52.7</v>
      </c>
      <c r="I13" s="7">
        <v>14601</v>
      </c>
      <c r="J13" s="7" t="s">
        <v>12</v>
      </c>
      <c r="K13" s="7">
        <f t="shared" si="0"/>
        <v>1</v>
      </c>
      <c r="V13" s="3">
        <v>10</v>
      </c>
      <c r="W13" s="2">
        <v>-219.2</v>
      </c>
      <c r="X13" s="2">
        <v>181.2</v>
      </c>
      <c r="Y13" s="2">
        <v>-216</v>
      </c>
      <c r="Z13" s="2">
        <v>183</v>
      </c>
      <c r="AA13" s="5">
        <f t="shared" si="5"/>
        <v>3.6715119501371594</v>
      </c>
      <c r="AD13" s="4">
        <v>313</v>
      </c>
      <c r="AE13" s="4">
        <v>154</v>
      </c>
      <c r="AF13" s="4">
        <v>250.24</v>
      </c>
      <c r="AG13" s="4">
        <v>21.8</v>
      </c>
      <c r="AH13" s="4">
        <v>251</v>
      </c>
      <c r="AI13" s="4">
        <v>23</v>
      </c>
      <c r="AJ13" s="4">
        <v>1.41</v>
      </c>
      <c r="AM13" s="3">
        <v>10</v>
      </c>
      <c r="AN13" s="2">
        <v>100</v>
      </c>
      <c r="AO13" s="2">
        <v>150</v>
      </c>
      <c r="AP13" s="2">
        <v>104</v>
      </c>
      <c r="AQ13" s="2">
        <v>153</v>
      </c>
      <c r="AR13" s="5">
        <f t="shared" ref="AR13:AR23" si="7">SQRT((AP13-AN13)^2+(AQ13-AO13)^2)</f>
        <v>5</v>
      </c>
    </row>
    <row r="14" spans="1:49" ht="16.2" thickBot="1" x14ac:dyDescent="0.35">
      <c r="A14" s="7" t="s">
        <v>10</v>
      </c>
      <c r="B14" s="7">
        <v>1.3180000000000001</v>
      </c>
      <c r="C14" s="7">
        <v>-58.67</v>
      </c>
      <c r="D14" s="7">
        <v>235.06</v>
      </c>
      <c r="E14" s="7">
        <v>31.6</v>
      </c>
      <c r="F14" s="7">
        <v>7.4</v>
      </c>
      <c r="G14" s="7">
        <v>155.69999999999999</v>
      </c>
      <c r="H14" s="7">
        <v>194.7</v>
      </c>
      <c r="I14" s="7">
        <v>13937</v>
      </c>
      <c r="J14" s="7" t="s">
        <v>12</v>
      </c>
      <c r="K14" s="7">
        <f t="shared" si="0"/>
        <v>1</v>
      </c>
      <c r="V14" s="3">
        <v>11</v>
      </c>
      <c r="W14" s="2">
        <v>-98.8</v>
      </c>
      <c r="X14" s="2">
        <v>234.9</v>
      </c>
      <c r="Y14" s="2">
        <v>-101</v>
      </c>
      <c r="Z14" s="2">
        <v>237</v>
      </c>
      <c r="AA14" s="5">
        <f t="shared" si="5"/>
        <v>3.0413812651491079</v>
      </c>
      <c r="AD14" s="4">
        <v>318</v>
      </c>
      <c r="AE14" s="4">
        <v>202</v>
      </c>
      <c r="AF14" s="4">
        <v>193.62</v>
      </c>
      <c r="AG14" s="4">
        <v>17.72</v>
      </c>
      <c r="AH14" s="4">
        <v>196</v>
      </c>
      <c r="AI14" s="4">
        <v>13</v>
      </c>
      <c r="AJ14" s="4">
        <v>5.29</v>
      </c>
      <c r="AM14" s="3">
        <v>11</v>
      </c>
      <c r="AN14" s="2">
        <v>-100</v>
      </c>
      <c r="AO14" s="2">
        <v>150</v>
      </c>
      <c r="AP14" s="2">
        <v>-104</v>
      </c>
      <c r="AQ14" s="2">
        <v>155</v>
      </c>
      <c r="AR14" s="5">
        <f t="shared" si="7"/>
        <v>6.4031242374328485</v>
      </c>
    </row>
    <row r="15" spans="1:49" ht="16.2" thickBot="1" x14ac:dyDescent="0.35">
      <c r="A15" s="7" t="s">
        <v>10</v>
      </c>
      <c r="B15" s="7">
        <v>1.0289999999999999</v>
      </c>
      <c r="C15" s="7">
        <v>-115.3</v>
      </c>
      <c r="D15" s="7">
        <v>202.76</v>
      </c>
      <c r="E15" s="7">
        <v>33.4</v>
      </c>
      <c r="F15" s="7">
        <v>13.1</v>
      </c>
      <c r="G15" s="7">
        <v>170.1</v>
      </c>
      <c r="H15" s="7">
        <v>216.6</v>
      </c>
      <c r="I15" s="7">
        <v>14391</v>
      </c>
      <c r="J15" s="7" t="s">
        <v>12</v>
      </c>
      <c r="K15" s="7">
        <f t="shared" si="0"/>
        <v>1</v>
      </c>
      <c r="V15" s="3">
        <v>12</v>
      </c>
      <c r="W15" s="2">
        <v>-159.69999999999999</v>
      </c>
      <c r="X15" s="2">
        <v>235.2</v>
      </c>
      <c r="Y15" s="2">
        <v>-161</v>
      </c>
      <c r="Z15" s="2">
        <v>237</v>
      </c>
      <c r="AA15" s="5">
        <f t="shared" si="5"/>
        <v>2.2203603311174676</v>
      </c>
      <c r="AD15" s="4">
        <v>369</v>
      </c>
      <c r="AE15" s="4">
        <v>195</v>
      </c>
      <c r="AF15" s="4">
        <v>199.93</v>
      </c>
      <c r="AG15" s="4">
        <v>-42.94</v>
      </c>
      <c r="AH15" s="4">
        <v>204</v>
      </c>
      <c r="AI15" s="4">
        <v>-46</v>
      </c>
      <c r="AJ15" s="4">
        <v>5.09</v>
      </c>
      <c r="AM15" s="3">
        <v>12</v>
      </c>
      <c r="AN15" s="2">
        <v>80</v>
      </c>
      <c r="AO15" s="2">
        <v>200</v>
      </c>
      <c r="AP15" s="2">
        <v>80.5</v>
      </c>
      <c r="AQ15" s="2">
        <v>203</v>
      </c>
      <c r="AR15" s="5">
        <f t="shared" si="7"/>
        <v>3.0413812651491097</v>
      </c>
    </row>
    <row r="16" spans="1:49" ht="16.2" thickBot="1" x14ac:dyDescent="0.35">
      <c r="A16" s="7" t="s">
        <v>10</v>
      </c>
      <c r="B16" s="7">
        <v>1.196</v>
      </c>
      <c r="C16" s="7">
        <v>-35.44</v>
      </c>
      <c r="D16" s="7">
        <v>243.1</v>
      </c>
      <c r="E16" s="7">
        <v>32.5</v>
      </c>
      <c r="F16" s="7">
        <v>10.8</v>
      </c>
      <c r="G16" s="7">
        <v>94.1</v>
      </c>
      <c r="H16" s="7">
        <v>137.4</v>
      </c>
      <c r="I16" s="7">
        <v>13603</v>
      </c>
      <c r="J16" s="7" t="s">
        <v>12</v>
      </c>
      <c r="K16" s="7">
        <f t="shared" si="0"/>
        <v>1</v>
      </c>
      <c r="V16" s="3">
        <v>13</v>
      </c>
      <c r="W16" s="2">
        <v>-206.8</v>
      </c>
      <c r="X16" s="2">
        <v>202.2</v>
      </c>
      <c r="Y16" s="2">
        <v>-204</v>
      </c>
      <c r="Z16" s="2">
        <v>203</v>
      </c>
      <c r="AA16" s="5">
        <f t="shared" si="5"/>
        <v>2.9120439557122215</v>
      </c>
      <c r="AD16" s="4">
        <v>315</v>
      </c>
      <c r="AE16" s="4">
        <v>154</v>
      </c>
      <c r="AF16" s="4">
        <v>250.16</v>
      </c>
      <c r="AG16" s="4">
        <v>19.440000000000001</v>
      </c>
      <c r="AH16" s="4">
        <v>247</v>
      </c>
      <c r="AI16" s="4">
        <v>22</v>
      </c>
      <c r="AJ16" s="4">
        <v>4.07</v>
      </c>
      <c r="AM16" s="3">
        <v>13</v>
      </c>
      <c r="AN16" s="2">
        <v>-80</v>
      </c>
      <c r="AO16" s="2">
        <v>200</v>
      </c>
      <c r="AP16" s="2">
        <v>-83</v>
      </c>
      <c r="AQ16" s="2">
        <v>202</v>
      </c>
      <c r="AR16" s="5">
        <f t="shared" si="7"/>
        <v>3.6055512754639891</v>
      </c>
    </row>
    <row r="17" spans="1:44" ht="16.2" thickBot="1" x14ac:dyDescent="0.35">
      <c r="A17" s="7" t="s">
        <v>10</v>
      </c>
      <c r="B17" s="7">
        <v>1.1619999999999999</v>
      </c>
      <c r="C17" s="7">
        <v>-112.94</v>
      </c>
      <c r="D17" s="7">
        <v>189.48</v>
      </c>
      <c r="E17" s="7">
        <v>32.1</v>
      </c>
      <c r="F17" s="7">
        <v>7.2</v>
      </c>
      <c r="G17" s="7">
        <v>155.80000000000001</v>
      </c>
      <c r="H17" s="7">
        <v>195.1</v>
      </c>
      <c r="I17" s="7">
        <v>14546</v>
      </c>
      <c r="J17" s="7" t="s">
        <v>12</v>
      </c>
      <c r="K17" s="7">
        <f t="shared" si="0"/>
        <v>1</v>
      </c>
      <c r="V17" s="3">
        <v>14</v>
      </c>
      <c r="W17" s="2">
        <v>147.4</v>
      </c>
      <c r="X17" s="2">
        <v>178.6</v>
      </c>
      <c r="Y17" s="2">
        <v>148</v>
      </c>
      <c r="Z17" s="2">
        <v>180</v>
      </c>
      <c r="AA17" s="5">
        <f t="shared" si="5"/>
        <v>1.5231546211727847</v>
      </c>
      <c r="AD17" s="4">
        <v>369</v>
      </c>
      <c r="AE17" s="4">
        <v>145</v>
      </c>
      <c r="AF17" s="4">
        <v>258.33999999999997</v>
      </c>
      <c r="AG17" s="4">
        <v>-44.44</v>
      </c>
      <c r="AH17" s="4">
        <v>258</v>
      </c>
      <c r="AI17" s="4">
        <v>-41</v>
      </c>
      <c r="AJ17" s="4">
        <v>3.46</v>
      </c>
      <c r="AM17" s="3">
        <v>14</v>
      </c>
      <c r="AN17" s="2">
        <v>200</v>
      </c>
      <c r="AO17" s="2">
        <v>100</v>
      </c>
      <c r="AP17" s="2">
        <v>202</v>
      </c>
      <c r="AQ17" s="2">
        <v>101</v>
      </c>
      <c r="AR17" s="5">
        <f t="shared" si="7"/>
        <v>2.2360679774997898</v>
      </c>
    </row>
    <row r="18" spans="1:44" ht="16.2" thickBot="1" x14ac:dyDescent="0.35">
      <c r="A18" s="7" t="s">
        <v>10</v>
      </c>
      <c r="B18" s="7">
        <v>0.96299999999999997</v>
      </c>
      <c r="C18" s="7">
        <v>-122.59</v>
      </c>
      <c r="D18" s="7">
        <v>199.6</v>
      </c>
      <c r="E18" s="7">
        <v>40.1</v>
      </c>
      <c r="F18" s="7">
        <v>16</v>
      </c>
      <c r="G18" s="7">
        <v>176.4</v>
      </c>
      <c r="H18" s="7">
        <v>232.5</v>
      </c>
      <c r="I18" s="7">
        <v>14510</v>
      </c>
      <c r="J18" s="7" t="s">
        <v>11</v>
      </c>
      <c r="K18" s="7">
        <f t="shared" si="0"/>
        <v>0</v>
      </c>
      <c r="V18" s="3">
        <v>15</v>
      </c>
      <c r="W18" s="2">
        <v>61.6</v>
      </c>
      <c r="X18" s="2">
        <v>217.7</v>
      </c>
      <c r="Y18" s="2">
        <v>58.6</v>
      </c>
      <c r="Z18" s="2">
        <v>218.7</v>
      </c>
      <c r="AA18" s="5">
        <f t="shared" si="5"/>
        <v>3.1622776601683795</v>
      </c>
      <c r="AD18" s="4">
        <v>372</v>
      </c>
      <c r="AE18" s="4">
        <v>232</v>
      </c>
      <c r="AF18" s="4">
        <v>156.11000000000001</v>
      </c>
      <c r="AG18" s="4">
        <v>-45.37</v>
      </c>
      <c r="AH18" s="4">
        <v>155</v>
      </c>
      <c r="AI18" s="4">
        <v>-46</v>
      </c>
      <c r="AJ18" s="4">
        <v>1.28</v>
      </c>
      <c r="AM18" s="3">
        <v>15</v>
      </c>
      <c r="AN18" s="2">
        <v>-200</v>
      </c>
      <c r="AO18" s="2">
        <v>100</v>
      </c>
      <c r="AP18" s="2">
        <v>-204</v>
      </c>
      <c r="AQ18" s="2">
        <v>99.5</v>
      </c>
      <c r="AR18" s="5">
        <f t="shared" si="7"/>
        <v>4.0311288741492746</v>
      </c>
    </row>
    <row r="19" spans="1:44" ht="16.2" thickBot="1" x14ac:dyDescent="0.35">
      <c r="A19" s="7" t="s">
        <v>10</v>
      </c>
      <c r="B19" s="7">
        <v>1.258</v>
      </c>
      <c r="C19" s="7">
        <v>-128.25</v>
      </c>
      <c r="D19" s="7">
        <v>200.55</v>
      </c>
      <c r="E19" s="7">
        <v>36.200000000000003</v>
      </c>
      <c r="F19" s="7">
        <v>7.7</v>
      </c>
      <c r="G19" s="7">
        <v>5.6</v>
      </c>
      <c r="H19" s="7">
        <v>49.5</v>
      </c>
      <c r="I19" s="7">
        <v>14430</v>
      </c>
      <c r="J19" s="7" t="s">
        <v>12</v>
      </c>
      <c r="K19" s="7">
        <f t="shared" si="0"/>
        <v>1</v>
      </c>
      <c r="V19" s="3">
        <v>16</v>
      </c>
      <c r="W19" s="2">
        <v>171.2</v>
      </c>
      <c r="X19" s="2">
        <v>232.8</v>
      </c>
      <c r="Y19" s="2">
        <v>172</v>
      </c>
      <c r="Z19" s="2">
        <v>234</v>
      </c>
      <c r="AA19" s="5">
        <f t="shared" si="5"/>
        <v>1.4422205101855925</v>
      </c>
      <c r="AD19" s="4">
        <v>373</v>
      </c>
      <c r="AE19" s="4">
        <v>191</v>
      </c>
      <c r="AF19" s="4">
        <v>204.48</v>
      </c>
      <c r="AG19" s="4">
        <v>-47.77</v>
      </c>
      <c r="AH19" s="4">
        <v>200</v>
      </c>
      <c r="AI19" s="4">
        <v>-48</v>
      </c>
      <c r="AJ19" s="4">
        <v>4.4800000000000004</v>
      </c>
      <c r="AM19" s="3">
        <v>16</v>
      </c>
      <c r="AN19" s="2">
        <v>160</v>
      </c>
      <c r="AO19" s="2">
        <v>160</v>
      </c>
      <c r="AP19" s="2">
        <v>163</v>
      </c>
      <c r="AQ19" s="2">
        <v>162</v>
      </c>
      <c r="AR19" s="5">
        <f t="shared" si="7"/>
        <v>3.6055512754639891</v>
      </c>
    </row>
    <row r="20" spans="1:44" ht="16.2" thickBot="1" x14ac:dyDescent="0.35">
      <c r="A20" s="7" t="s">
        <v>10</v>
      </c>
      <c r="B20" s="7">
        <v>0.70699999999999996</v>
      </c>
      <c r="C20" s="7">
        <v>-122.59</v>
      </c>
      <c r="D20" s="7">
        <v>200.43</v>
      </c>
      <c r="E20" s="7">
        <v>40.1</v>
      </c>
      <c r="F20" s="7">
        <v>13.6</v>
      </c>
      <c r="G20" s="7">
        <v>100.4</v>
      </c>
      <c r="H20" s="7">
        <v>154.1</v>
      </c>
      <c r="I20" s="7">
        <v>14489</v>
      </c>
      <c r="J20" s="7" t="s">
        <v>11</v>
      </c>
      <c r="K20" s="7">
        <v>0</v>
      </c>
      <c r="V20" s="3">
        <v>17</v>
      </c>
      <c r="W20" s="2">
        <v>-68.599999999999994</v>
      </c>
      <c r="X20" s="2">
        <v>161.19999999999999</v>
      </c>
      <c r="Y20" s="2">
        <v>-70</v>
      </c>
      <c r="Z20" s="2">
        <v>163</v>
      </c>
      <c r="AA20" s="5">
        <f t="shared" si="5"/>
        <v>2.2803508501982885</v>
      </c>
      <c r="AD20" s="4">
        <v>282</v>
      </c>
      <c r="AE20" s="4">
        <v>151</v>
      </c>
      <c r="AF20" s="4">
        <v>255.07</v>
      </c>
      <c r="AG20" s="4">
        <v>58.46</v>
      </c>
      <c r="AH20" s="4">
        <v>257</v>
      </c>
      <c r="AI20" s="4">
        <v>55</v>
      </c>
      <c r="AJ20" s="4">
        <v>3.96</v>
      </c>
      <c r="AM20" s="3">
        <v>17</v>
      </c>
      <c r="AN20" s="2">
        <v>-160</v>
      </c>
      <c r="AO20" s="2">
        <v>160</v>
      </c>
      <c r="AP20" s="2">
        <v>-164</v>
      </c>
      <c r="AQ20" s="2">
        <v>162</v>
      </c>
      <c r="AR20" s="5">
        <f t="shared" si="7"/>
        <v>4.4721359549995796</v>
      </c>
    </row>
    <row r="21" spans="1:44" ht="16.2" thickBot="1" x14ac:dyDescent="0.35">
      <c r="A21" s="7" t="s">
        <v>10</v>
      </c>
      <c r="B21" s="7">
        <v>1.2030000000000001</v>
      </c>
      <c r="C21" s="7">
        <v>-75.930000000000007</v>
      </c>
      <c r="D21" s="7">
        <v>234.53</v>
      </c>
      <c r="E21" s="7">
        <v>34.5</v>
      </c>
      <c r="F21" s="7">
        <v>9.8000000000000007</v>
      </c>
      <c r="G21" s="7">
        <v>90.9</v>
      </c>
      <c r="H21" s="7">
        <v>135.19999999999999</v>
      </c>
      <c r="I21" s="7">
        <v>13947</v>
      </c>
      <c r="J21" s="7" t="s">
        <v>12</v>
      </c>
      <c r="K21" s="7">
        <f t="shared" ref="K21:K52" si="8">IF(J:J="Success",1,IF(J:J="Fail",0,""))</f>
        <v>1</v>
      </c>
      <c r="V21" s="3">
        <v>18</v>
      </c>
      <c r="W21" s="2">
        <v>-156.4</v>
      </c>
      <c r="X21" s="2">
        <v>160.19999999999999</v>
      </c>
      <c r="Y21" s="2">
        <v>-158</v>
      </c>
      <c r="Z21" s="2">
        <v>162</v>
      </c>
      <c r="AA21" s="5">
        <f t="shared" si="5"/>
        <v>2.4083189157584637</v>
      </c>
      <c r="AD21" s="4">
        <v>407</v>
      </c>
      <c r="AE21" s="4">
        <v>143</v>
      </c>
      <c r="AF21" s="4">
        <v>259.02999999999997</v>
      </c>
      <c r="AG21" s="4">
        <v>-88.86</v>
      </c>
      <c r="AH21" s="4">
        <v>260</v>
      </c>
      <c r="AI21" s="4">
        <v>-87</v>
      </c>
      <c r="AJ21" s="4">
        <v>2.1</v>
      </c>
      <c r="AM21" s="3">
        <v>18</v>
      </c>
      <c r="AN21" s="2">
        <v>150</v>
      </c>
      <c r="AO21" s="2">
        <v>150</v>
      </c>
      <c r="AP21" s="2">
        <v>153</v>
      </c>
      <c r="AQ21" s="2">
        <v>152</v>
      </c>
      <c r="AR21" s="5">
        <f t="shared" si="7"/>
        <v>3.6055512754639891</v>
      </c>
    </row>
    <row r="22" spans="1:44" ht="16.2" thickBot="1" x14ac:dyDescent="0.35">
      <c r="A22" s="7" t="s">
        <v>10</v>
      </c>
      <c r="B22" s="7">
        <v>1.0389999999999999</v>
      </c>
      <c r="C22" s="7">
        <v>-122.67</v>
      </c>
      <c r="D22" s="7">
        <v>180.63</v>
      </c>
      <c r="E22" s="7">
        <v>39.4</v>
      </c>
      <c r="F22" s="7">
        <v>11.7</v>
      </c>
      <c r="G22" s="7">
        <v>181.8</v>
      </c>
      <c r="H22" s="7">
        <v>232.9</v>
      </c>
      <c r="I22" s="7">
        <v>14627</v>
      </c>
      <c r="J22" s="7" t="s">
        <v>12</v>
      </c>
      <c r="K22" s="7">
        <f t="shared" si="8"/>
        <v>1</v>
      </c>
      <c r="V22" s="3">
        <v>19</v>
      </c>
      <c r="W22" s="2">
        <v>-171</v>
      </c>
      <c r="X22" s="2">
        <v>235.4</v>
      </c>
      <c r="Y22" s="2">
        <v>-175</v>
      </c>
      <c r="Z22" s="2">
        <v>237</v>
      </c>
      <c r="AA22" s="5">
        <f t="shared" si="5"/>
        <v>4.3081318457076012</v>
      </c>
      <c r="AJ22">
        <f>AVERAGE(AJ2:AJ21)</f>
        <v>2.9910000000000005</v>
      </c>
      <c r="AM22" s="3">
        <v>19</v>
      </c>
      <c r="AN22" s="2">
        <v>-150</v>
      </c>
      <c r="AO22" s="2">
        <v>150</v>
      </c>
      <c r="AP22" s="2">
        <v>-154</v>
      </c>
      <c r="AQ22" s="2">
        <v>152</v>
      </c>
      <c r="AR22" s="5">
        <f t="shared" si="7"/>
        <v>4.4721359549995796</v>
      </c>
    </row>
    <row r="23" spans="1:44" ht="16.2" thickBot="1" x14ac:dyDescent="0.35">
      <c r="A23" s="7" t="s">
        <v>13</v>
      </c>
      <c r="B23" s="7">
        <v>1.216</v>
      </c>
      <c r="C23" s="7">
        <v>-94.36</v>
      </c>
      <c r="D23" s="7">
        <v>181.63</v>
      </c>
      <c r="E23" s="7">
        <v>36.5</v>
      </c>
      <c r="F23" s="7">
        <v>10</v>
      </c>
      <c r="G23" s="7">
        <v>94</v>
      </c>
      <c r="H23" s="7">
        <v>140.5</v>
      </c>
      <c r="I23" s="7">
        <v>12306</v>
      </c>
      <c r="J23" s="7" t="s">
        <v>12</v>
      </c>
      <c r="K23" s="7">
        <f t="shared" si="8"/>
        <v>1</v>
      </c>
      <c r="V23" s="3">
        <v>20</v>
      </c>
      <c r="W23" s="2">
        <v>-225.4</v>
      </c>
      <c r="X23" s="2">
        <v>168.4</v>
      </c>
      <c r="Y23" s="2">
        <v>-220</v>
      </c>
      <c r="Z23" s="2">
        <v>169</v>
      </c>
      <c r="AA23" s="5">
        <f t="shared" si="5"/>
        <v>5.4332310828824548</v>
      </c>
      <c r="AM23" s="3">
        <v>20</v>
      </c>
      <c r="AN23" s="2">
        <v>180</v>
      </c>
      <c r="AO23" s="2">
        <v>90</v>
      </c>
      <c r="AP23" s="2">
        <v>183</v>
      </c>
      <c r="AQ23" s="2">
        <v>91</v>
      </c>
      <c r="AR23" s="5">
        <f t="shared" si="7"/>
        <v>3.1622776601683795</v>
      </c>
    </row>
    <row r="24" spans="1:44" ht="16.2" customHeight="1" thickBot="1" x14ac:dyDescent="0.35">
      <c r="A24" s="7" t="s">
        <v>13</v>
      </c>
      <c r="B24" s="7">
        <v>1.1359999999999999</v>
      </c>
      <c r="C24" s="7">
        <v>-106.15</v>
      </c>
      <c r="D24" s="7">
        <v>239.25</v>
      </c>
      <c r="E24" s="7">
        <v>36.6</v>
      </c>
      <c r="F24" s="7">
        <v>16.2</v>
      </c>
      <c r="G24" s="7">
        <v>170.7</v>
      </c>
      <c r="H24" s="7">
        <v>223.5</v>
      </c>
      <c r="I24" s="7">
        <v>12275</v>
      </c>
      <c r="J24" s="7" t="s">
        <v>12</v>
      </c>
      <c r="K24" s="7">
        <f t="shared" si="8"/>
        <v>1</v>
      </c>
      <c r="V24" s="16" t="s">
        <v>26</v>
      </c>
      <c r="W24" s="17"/>
      <c r="X24" s="17"/>
      <c r="Y24" s="17"/>
      <c r="Z24" s="18"/>
      <c r="AA24" s="5">
        <f>AVERAGE(AA4:AA23)</f>
        <v>3.3881533125957972</v>
      </c>
      <c r="AM24" s="16" t="s">
        <v>26</v>
      </c>
      <c r="AN24" s="17"/>
      <c r="AO24" s="17"/>
      <c r="AP24" s="17"/>
      <c r="AQ24" s="18"/>
      <c r="AR24" s="5">
        <f>AVERAGE(AR4:AR23)</f>
        <v>2.967809762323129</v>
      </c>
    </row>
    <row r="25" spans="1:44" x14ac:dyDescent="0.3">
      <c r="A25" s="7" t="s">
        <v>13</v>
      </c>
      <c r="B25" s="7">
        <v>0.89700000000000002</v>
      </c>
      <c r="C25" s="7">
        <v>-53</v>
      </c>
      <c r="D25" s="7">
        <v>169.1</v>
      </c>
      <c r="E25" s="7">
        <v>34.299999999999997</v>
      </c>
      <c r="F25" s="7">
        <v>12.5</v>
      </c>
      <c r="G25" s="7">
        <v>88.9</v>
      </c>
      <c r="H25" s="7">
        <v>135.69999999999999</v>
      </c>
      <c r="I25" s="7">
        <v>13304</v>
      </c>
      <c r="J25" s="7" t="s">
        <v>11</v>
      </c>
      <c r="K25" s="7">
        <f t="shared" si="8"/>
        <v>0</v>
      </c>
      <c r="AB25" t="str">
        <f>IF(AC:AC="Success",1,IF(AC:AC="Fail",0,""))</f>
        <v/>
      </c>
    </row>
    <row r="26" spans="1:44" x14ac:dyDescent="0.3">
      <c r="A26" s="7" t="s">
        <v>13</v>
      </c>
      <c r="B26" s="7">
        <v>0.99099999999999999</v>
      </c>
      <c r="C26" s="7">
        <v>-93.91</v>
      </c>
      <c r="D26" s="7">
        <v>238.2</v>
      </c>
      <c r="E26" s="7">
        <v>42.1</v>
      </c>
      <c r="F26" s="7">
        <v>15.2</v>
      </c>
      <c r="G26" s="7">
        <v>3.9</v>
      </c>
      <c r="H26" s="7">
        <v>61.2</v>
      </c>
      <c r="I26" s="7">
        <v>12422</v>
      </c>
      <c r="J26" s="7" t="s">
        <v>12</v>
      </c>
      <c r="K26" s="7">
        <f t="shared" si="8"/>
        <v>1</v>
      </c>
      <c r="AB26" t="str">
        <f>IF(AC:AC="Success",1,IF(AC:AC="Fail",0,""))</f>
        <v/>
      </c>
    </row>
    <row r="27" spans="1:44" x14ac:dyDescent="0.3">
      <c r="A27" s="7" t="s">
        <v>13</v>
      </c>
      <c r="B27" s="7">
        <v>1.052</v>
      </c>
      <c r="C27" s="7">
        <v>-104.56</v>
      </c>
      <c r="D27" s="7">
        <v>233.36</v>
      </c>
      <c r="E27" s="7">
        <v>35.5</v>
      </c>
      <c r="F27" s="7">
        <v>10.4</v>
      </c>
      <c r="G27" s="7">
        <v>6.2</v>
      </c>
      <c r="H27" s="7">
        <v>52.1</v>
      </c>
      <c r="I27" s="7">
        <v>12096</v>
      </c>
      <c r="J27" s="7" t="s">
        <v>12</v>
      </c>
      <c r="K27" s="7">
        <f t="shared" si="8"/>
        <v>1</v>
      </c>
      <c r="AB27" t="str">
        <f>IF(AC:AC="Success",1,IF(AC:AC="Fail",0,""))</f>
        <v/>
      </c>
    </row>
    <row r="28" spans="1:44" x14ac:dyDescent="0.3">
      <c r="A28" s="7" t="s">
        <v>13</v>
      </c>
      <c r="B28" s="7">
        <v>1.1419999999999999</v>
      </c>
      <c r="C28" s="7">
        <v>-107.82</v>
      </c>
      <c r="D28" s="7">
        <v>232.58</v>
      </c>
      <c r="E28" s="7">
        <v>35.6</v>
      </c>
      <c r="F28" s="7">
        <v>10.3</v>
      </c>
      <c r="G28" s="7">
        <v>241.7</v>
      </c>
      <c r="H28" s="7">
        <v>246.6</v>
      </c>
      <c r="I28" s="7">
        <v>11083</v>
      </c>
      <c r="J28" s="7" t="s">
        <v>12</v>
      </c>
      <c r="K28" s="7">
        <f t="shared" si="8"/>
        <v>1</v>
      </c>
    </row>
    <row r="29" spans="1:44" x14ac:dyDescent="0.3">
      <c r="A29" s="7" t="s">
        <v>13</v>
      </c>
      <c r="B29" s="7">
        <v>0.96199999999999997</v>
      </c>
      <c r="C29" s="7">
        <v>-115.14</v>
      </c>
      <c r="D29" s="7">
        <v>234.38</v>
      </c>
      <c r="E29" s="7">
        <v>39</v>
      </c>
      <c r="F29" s="7">
        <v>13.7</v>
      </c>
      <c r="G29" s="7">
        <v>87.3</v>
      </c>
      <c r="H29" s="7">
        <v>140</v>
      </c>
      <c r="I29" s="7">
        <v>12528</v>
      </c>
      <c r="J29" s="7" t="s">
        <v>12</v>
      </c>
      <c r="K29" s="7">
        <f t="shared" si="8"/>
        <v>1</v>
      </c>
    </row>
    <row r="30" spans="1:44" x14ac:dyDescent="0.3">
      <c r="A30" s="7" t="s">
        <v>13</v>
      </c>
      <c r="B30" s="7">
        <v>1.149</v>
      </c>
      <c r="C30" s="7">
        <v>-86.34</v>
      </c>
      <c r="D30" s="7">
        <v>170.73</v>
      </c>
      <c r="E30" s="7">
        <v>33.4</v>
      </c>
      <c r="F30" s="7">
        <v>9.6</v>
      </c>
      <c r="G30" s="7">
        <v>92.5</v>
      </c>
      <c r="H30" s="7">
        <v>135.5</v>
      </c>
      <c r="I30" s="7">
        <v>13268</v>
      </c>
      <c r="J30" s="7" t="s">
        <v>12</v>
      </c>
      <c r="K30" s="7">
        <f t="shared" si="8"/>
        <v>1</v>
      </c>
    </row>
    <row r="31" spans="1:44" x14ac:dyDescent="0.3">
      <c r="A31" s="7" t="s">
        <v>13</v>
      </c>
      <c r="B31" s="7">
        <v>1.1499999999999999</v>
      </c>
      <c r="C31" s="7">
        <v>-64.36</v>
      </c>
      <c r="D31" s="7">
        <v>173.5</v>
      </c>
      <c r="E31" s="7">
        <v>35</v>
      </c>
      <c r="F31" s="7">
        <v>11.8</v>
      </c>
      <c r="G31" s="7">
        <v>97.5</v>
      </c>
      <c r="H31" s="7">
        <v>144.30000000000001</v>
      </c>
      <c r="I31" s="7">
        <v>13178</v>
      </c>
      <c r="J31" s="7" t="s">
        <v>12</v>
      </c>
      <c r="K31" s="7">
        <f t="shared" si="8"/>
        <v>1</v>
      </c>
    </row>
    <row r="32" spans="1:44" x14ac:dyDescent="0.3">
      <c r="A32" s="7" t="s">
        <v>13</v>
      </c>
      <c r="B32" s="7">
        <v>1.111</v>
      </c>
      <c r="C32" s="7">
        <v>-98.32</v>
      </c>
      <c r="D32" s="7">
        <v>194.12</v>
      </c>
      <c r="E32" s="7">
        <v>34.1</v>
      </c>
      <c r="F32" s="7">
        <v>7</v>
      </c>
      <c r="G32" s="7">
        <v>160.9</v>
      </c>
      <c r="H32" s="7">
        <v>202</v>
      </c>
      <c r="I32" s="7">
        <v>12986</v>
      </c>
      <c r="J32" s="7" t="s">
        <v>12</v>
      </c>
      <c r="K32" s="7">
        <f t="shared" si="8"/>
        <v>1</v>
      </c>
    </row>
    <row r="33" spans="1:11" x14ac:dyDescent="0.3">
      <c r="A33" s="7" t="s">
        <v>13</v>
      </c>
      <c r="B33" s="7">
        <v>0.91900000000000004</v>
      </c>
      <c r="C33" s="7">
        <v>-87.57</v>
      </c>
      <c r="D33" s="7">
        <v>215.5</v>
      </c>
      <c r="E33" s="7">
        <v>38.299999999999997</v>
      </c>
      <c r="F33" s="7">
        <v>11.2</v>
      </c>
      <c r="G33" s="7">
        <v>172.2</v>
      </c>
      <c r="H33" s="7">
        <v>221.7</v>
      </c>
      <c r="I33" s="7">
        <v>12764</v>
      </c>
      <c r="J33" s="7" t="s">
        <v>12</v>
      </c>
      <c r="K33" s="7">
        <f t="shared" si="8"/>
        <v>1</v>
      </c>
    </row>
    <row r="34" spans="1:11" x14ac:dyDescent="0.3">
      <c r="A34" s="7" t="s">
        <v>13</v>
      </c>
      <c r="B34" s="7">
        <v>0.94799999999999995</v>
      </c>
      <c r="C34" s="7">
        <v>-118.63</v>
      </c>
      <c r="D34" s="7">
        <v>181.36</v>
      </c>
      <c r="E34" s="7">
        <v>36</v>
      </c>
      <c r="F34" s="7">
        <v>8.6</v>
      </c>
      <c r="G34" s="7">
        <v>4.7</v>
      </c>
      <c r="H34" s="7">
        <v>49.3</v>
      </c>
      <c r="I34" s="7">
        <v>13118</v>
      </c>
      <c r="J34" s="7" t="s">
        <v>12</v>
      </c>
      <c r="K34" s="7">
        <f t="shared" si="8"/>
        <v>1</v>
      </c>
    </row>
    <row r="35" spans="1:11" x14ac:dyDescent="0.3">
      <c r="A35" s="7" t="s">
        <v>13</v>
      </c>
      <c r="B35" s="7">
        <v>0.95199999999999996</v>
      </c>
      <c r="C35" s="7">
        <v>-48.94</v>
      </c>
      <c r="D35" s="7">
        <v>223.97</v>
      </c>
      <c r="E35" s="7">
        <v>36.700000000000003</v>
      </c>
      <c r="F35" s="7">
        <v>10.9</v>
      </c>
      <c r="G35" s="7">
        <v>77.3</v>
      </c>
      <c r="H35" s="7">
        <v>124.9</v>
      </c>
      <c r="I35" s="7">
        <v>12506</v>
      </c>
      <c r="J35" s="7" t="s">
        <v>12</v>
      </c>
      <c r="K35" s="7">
        <f t="shared" si="8"/>
        <v>1</v>
      </c>
    </row>
    <row r="36" spans="1:11" x14ac:dyDescent="0.3">
      <c r="A36" s="7" t="s">
        <v>13</v>
      </c>
      <c r="B36" s="7">
        <v>0.98699999999999999</v>
      </c>
      <c r="C36" s="7">
        <v>-106.25</v>
      </c>
      <c r="D36" s="7">
        <v>223.36</v>
      </c>
      <c r="E36" s="7">
        <v>35.200000000000003</v>
      </c>
      <c r="F36" s="7">
        <v>13</v>
      </c>
      <c r="G36" s="7">
        <v>92.2</v>
      </c>
      <c r="H36" s="7">
        <v>140.4</v>
      </c>
      <c r="I36" s="7">
        <v>12689</v>
      </c>
      <c r="J36" s="7" t="s">
        <v>12</v>
      </c>
      <c r="K36" s="7">
        <f t="shared" si="8"/>
        <v>1</v>
      </c>
    </row>
    <row r="37" spans="1:11" x14ac:dyDescent="0.3">
      <c r="A37" s="7" t="s">
        <v>13</v>
      </c>
      <c r="B37" s="7">
        <v>1.262</v>
      </c>
      <c r="C37" s="7">
        <v>-93.46</v>
      </c>
      <c r="D37" s="7">
        <v>193.18</v>
      </c>
      <c r="E37" s="7">
        <v>38.1</v>
      </c>
      <c r="F37" s="7">
        <v>7.2</v>
      </c>
      <c r="G37" s="7">
        <v>87.2</v>
      </c>
      <c r="H37" s="7">
        <v>132.5</v>
      </c>
      <c r="I37" s="7">
        <v>12808</v>
      </c>
      <c r="J37" s="7" t="s">
        <v>12</v>
      </c>
      <c r="K37" s="7">
        <f t="shared" si="8"/>
        <v>1</v>
      </c>
    </row>
    <row r="38" spans="1:11" x14ac:dyDescent="0.3">
      <c r="A38" s="7" t="s">
        <v>13</v>
      </c>
      <c r="B38" s="7">
        <v>1.179</v>
      </c>
      <c r="C38" s="7">
        <v>-105.58</v>
      </c>
      <c r="D38" s="7">
        <v>201.73</v>
      </c>
      <c r="E38" s="7">
        <v>38.799999999999997</v>
      </c>
      <c r="F38" s="7">
        <v>7.5</v>
      </c>
      <c r="G38" s="7">
        <v>165.8</v>
      </c>
      <c r="H38" s="7">
        <v>212.1</v>
      </c>
      <c r="I38" s="7">
        <v>12822</v>
      </c>
      <c r="J38" s="7" t="s">
        <v>12</v>
      </c>
      <c r="K38" s="7">
        <f t="shared" si="8"/>
        <v>1</v>
      </c>
    </row>
    <row r="39" spans="1:11" x14ac:dyDescent="0.3">
      <c r="A39" s="7" t="s">
        <v>13</v>
      </c>
      <c r="B39" s="7">
        <v>0.32200000000000001</v>
      </c>
      <c r="C39" s="7">
        <v>-24.88</v>
      </c>
      <c r="D39" s="7">
        <v>231.1</v>
      </c>
      <c r="E39" s="7">
        <v>35.200000000000003</v>
      </c>
      <c r="F39" s="7">
        <v>12.3</v>
      </c>
      <c r="G39" s="7">
        <v>4.9000000000000004</v>
      </c>
      <c r="H39" s="7">
        <v>52.4</v>
      </c>
      <c r="I39" s="7">
        <v>12391</v>
      </c>
      <c r="J39" s="7" t="s">
        <v>11</v>
      </c>
      <c r="K39" s="7">
        <f t="shared" si="8"/>
        <v>0</v>
      </c>
    </row>
    <row r="40" spans="1:11" x14ac:dyDescent="0.3">
      <c r="A40" s="7" t="s">
        <v>13</v>
      </c>
      <c r="B40" s="7">
        <v>1.016</v>
      </c>
      <c r="C40" s="7">
        <v>-108.88</v>
      </c>
      <c r="D40" s="7">
        <v>191.87</v>
      </c>
      <c r="E40" s="7">
        <v>41.2</v>
      </c>
      <c r="F40" s="7">
        <v>13</v>
      </c>
      <c r="G40" s="7">
        <v>168.4</v>
      </c>
      <c r="H40" s="7">
        <v>222.6</v>
      </c>
      <c r="I40" s="7">
        <v>13044</v>
      </c>
      <c r="J40" s="7" t="s">
        <v>12</v>
      </c>
      <c r="K40" s="7">
        <f t="shared" si="8"/>
        <v>1</v>
      </c>
    </row>
    <row r="41" spans="1:11" x14ac:dyDescent="0.3">
      <c r="A41" s="7" t="s">
        <v>13</v>
      </c>
      <c r="B41" s="7">
        <v>0.91500000000000004</v>
      </c>
      <c r="C41" s="7">
        <v>-27.25</v>
      </c>
      <c r="D41" s="7">
        <v>190.08</v>
      </c>
      <c r="E41" s="7">
        <v>36.6</v>
      </c>
      <c r="F41" s="7">
        <v>9</v>
      </c>
      <c r="G41" s="7">
        <v>4.2</v>
      </c>
      <c r="H41" s="7">
        <v>49.8</v>
      </c>
      <c r="I41" s="7">
        <v>12848</v>
      </c>
      <c r="J41" s="7" t="s">
        <v>12</v>
      </c>
      <c r="K41" s="7">
        <f t="shared" si="8"/>
        <v>1</v>
      </c>
    </row>
    <row r="42" spans="1:11" x14ac:dyDescent="0.3">
      <c r="A42" s="7" t="s">
        <v>13</v>
      </c>
      <c r="B42" s="7">
        <v>0.99</v>
      </c>
      <c r="C42" s="7">
        <v>-120.1</v>
      </c>
      <c r="D42" s="7">
        <v>215.3</v>
      </c>
      <c r="E42" s="7">
        <v>39.299999999999997</v>
      </c>
      <c r="F42" s="7">
        <v>9.1999999999999993</v>
      </c>
      <c r="G42" s="7">
        <v>96</v>
      </c>
      <c r="H42" s="7">
        <v>144.5</v>
      </c>
      <c r="I42" s="7">
        <v>12667</v>
      </c>
      <c r="J42" s="7" t="s">
        <v>12</v>
      </c>
      <c r="K42" s="7">
        <f t="shared" si="8"/>
        <v>1</v>
      </c>
    </row>
    <row r="43" spans="1:11" x14ac:dyDescent="0.3">
      <c r="A43" s="7" t="s">
        <v>14</v>
      </c>
      <c r="B43" s="7">
        <v>1.0069999999999999</v>
      </c>
      <c r="C43" s="7">
        <v>-128.19</v>
      </c>
      <c r="D43" s="7">
        <v>219.62</v>
      </c>
      <c r="E43" s="7">
        <v>33.5</v>
      </c>
      <c r="F43" s="7">
        <v>8</v>
      </c>
      <c r="G43" s="7">
        <v>175</v>
      </c>
      <c r="H43" s="7">
        <v>216.5</v>
      </c>
      <c r="I43" s="7">
        <v>11878</v>
      </c>
      <c r="J43" s="7" t="s">
        <v>12</v>
      </c>
      <c r="K43" s="7">
        <f t="shared" si="8"/>
        <v>1</v>
      </c>
    </row>
    <row r="44" spans="1:11" x14ac:dyDescent="0.3">
      <c r="A44" s="7" t="s">
        <v>14</v>
      </c>
      <c r="B44" s="7">
        <v>1.05</v>
      </c>
      <c r="C44" s="7">
        <v>-125.88</v>
      </c>
      <c r="D44" s="7">
        <v>184</v>
      </c>
      <c r="E44" s="7">
        <v>36.4</v>
      </c>
      <c r="F44" s="7">
        <v>8.4</v>
      </c>
      <c r="G44" s="7">
        <v>165.2</v>
      </c>
      <c r="H44" s="7">
        <v>210</v>
      </c>
      <c r="I44" s="7">
        <v>12027</v>
      </c>
      <c r="J44" s="7" t="s">
        <v>12</v>
      </c>
      <c r="K44" s="7">
        <f t="shared" si="8"/>
        <v>1</v>
      </c>
    </row>
    <row r="45" spans="1:11" x14ac:dyDescent="0.3">
      <c r="A45" s="7" t="s">
        <v>14</v>
      </c>
      <c r="B45" s="7">
        <v>1.2849999999999999</v>
      </c>
      <c r="C45" s="7">
        <v>-133.86000000000001</v>
      </c>
      <c r="D45" s="7">
        <v>218.06</v>
      </c>
      <c r="E45" s="7">
        <v>36.799999999999997</v>
      </c>
      <c r="F45" s="7">
        <v>9.4</v>
      </c>
      <c r="G45" s="7">
        <v>178.2</v>
      </c>
      <c r="H45" s="7">
        <v>224.4</v>
      </c>
      <c r="I45" s="7">
        <v>11448</v>
      </c>
      <c r="J45" s="7" t="s">
        <v>12</v>
      </c>
      <c r="K45" s="7">
        <f t="shared" si="8"/>
        <v>1</v>
      </c>
    </row>
    <row r="46" spans="1:11" x14ac:dyDescent="0.3">
      <c r="A46" s="7" t="s">
        <v>14</v>
      </c>
      <c r="B46" s="7">
        <v>1.282</v>
      </c>
      <c r="C46" s="7">
        <v>-38.14</v>
      </c>
      <c r="D46" s="7">
        <v>229.65</v>
      </c>
      <c r="E46" s="7">
        <v>37.1</v>
      </c>
      <c r="F46" s="7">
        <v>13.9</v>
      </c>
      <c r="G46" s="7">
        <v>166.6</v>
      </c>
      <c r="H46" s="7">
        <v>217.6</v>
      </c>
      <c r="I46" s="7">
        <v>11789</v>
      </c>
      <c r="J46" s="7" t="s">
        <v>12</v>
      </c>
      <c r="K46" s="7">
        <f t="shared" si="8"/>
        <v>1</v>
      </c>
    </row>
    <row r="47" spans="1:11" x14ac:dyDescent="0.3">
      <c r="A47" s="7" t="s">
        <v>14</v>
      </c>
      <c r="B47" s="7">
        <v>1.296</v>
      </c>
      <c r="C47" s="7">
        <v>-129.04</v>
      </c>
      <c r="D47" s="7">
        <v>203.88</v>
      </c>
      <c r="E47" s="7">
        <v>36.799999999999997</v>
      </c>
      <c r="F47" s="7">
        <v>11.6</v>
      </c>
      <c r="G47" s="7">
        <v>95.2</v>
      </c>
      <c r="H47" s="7">
        <v>143.6</v>
      </c>
      <c r="I47" s="7">
        <v>11798</v>
      </c>
      <c r="J47" s="7" t="s">
        <v>12</v>
      </c>
      <c r="K47" s="7">
        <f t="shared" si="8"/>
        <v>1</v>
      </c>
    </row>
    <row r="48" spans="1:11" x14ac:dyDescent="0.3">
      <c r="A48" s="7" t="s">
        <v>14</v>
      </c>
      <c r="B48" s="7">
        <v>1.1659999999999999</v>
      </c>
      <c r="C48" s="7">
        <v>-134.61000000000001</v>
      </c>
      <c r="D48" s="7">
        <v>242.24</v>
      </c>
      <c r="E48" s="7">
        <v>47.4</v>
      </c>
      <c r="F48" s="7">
        <v>11.2</v>
      </c>
      <c r="G48" s="7">
        <v>97.2</v>
      </c>
      <c r="H48" s="7">
        <v>155.80000000000001</v>
      </c>
      <c r="I48" s="7">
        <v>11967</v>
      </c>
      <c r="J48" s="7" t="s">
        <v>12</v>
      </c>
      <c r="K48" s="7">
        <f t="shared" si="8"/>
        <v>1</v>
      </c>
    </row>
    <row r="49" spans="1:27" x14ac:dyDescent="0.3">
      <c r="A49" s="7" t="s">
        <v>14</v>
      </c>
      <c r="B49" s="7">
        <v>0.95399999999999996</v>
      </c>
      <c r="C49" s="7">
        <v>-133.15</v>
      </c>
      <c r="D49" s="7">
        <v>175.13</v>
      </c>
      <c r="E49" s="7">
        <v>33.4</v>
      </c>
      <c r="F49" s="7">
        <v>10.7</v>
      </c>
      <c r="G49" s="7">
        <v>92.3</v>
      </c>
      <c r="H49" s="7">
        <v>136.4</v>
      </c>
      <c r="I49" s="7">
        <v>12748</v>
      </c>
      <c r="J49" s="7" t="s">
        <v>12</v>
      </c>
      <c r="K49" s="7">
        <f t="shared" si="8"/>
        <v>1</v>
      </c>
    </row>
    <row r="50" spans="1:27" x14ac:dyDescent="0.3">
      <c r="A50" s="7" t="s">
        <v>14</v>
      </c>
      <c r="B50" s="7">
        <v>0.997</v>
      </c>
      <c r="C50" s="7">
        <v>-137.04</v>
      </c>
      <c r="D50" s="7">
        <v>243.12</v>
      </c>
      <c r="E50" s="7">
        <v>44</v>
      </c>
      <c r="F50" s="7">
        <v>10.5</v>
      </c>
      <c r="G50" s="7">
        <v>100.1</v>
      </c>
      <c r="H50" s="7">
        <v>154.6</v>
      </c>
      <c r="I50" s="7">
        <v>11985</v>
      </c>
      <c r="J50" s="7" t="s">
        <v>12</v>
      </c>
      <c r="K50" s="7">
        <f t="shared" si="8"/>
        <v>1</v>
      </c>
    </row>
    <row r="51" spans="1:27" x14ac:dyDescent="0.3">
      <c r="A51" s="7" t="s">
        <v>14</v>
      </c>
      <c r="B51" s="7">
        <v>1.0109999999999999</v>
      </c>
      <c r="C51" s="7">
        <v>-63.59</v>
      </c>
      <c r="D51" s="7">
        <v>236.83</v>
      </c>
      <c r="E51" s="7">
        <v>32.700000000000003</v>
      </c>
      <c r="F51" s="7">
        <v>12.6</v>
      </c>
      <c r="G51" s="7">
        <v>93.9</v>
      </c>
      <c r="H51" s="7">
        <v>139.19999999999999</v>
      </c>
      <c r="I51" s="7">
        <v>11924</v>
      </c>
      <c r="J51" s="7" t="s">
        <v>12</v>
      </c>
      <c r="K51" s="7">
        <f t="shared" si="8"/>
        <v>1</v>
      </c>
    </row>
    <row r="52" spans="1:27" x14ac:dyDescent="0.3">
      <c r="A52" s="7" t="s">
        <v>14</v>
      </c>
      <c r="B52" s="7">
        <v>0.996</v>
      </c>
      <c r="C52" s="7">
        <v>-111.27</v>
      </c>
      <c r="D52" s="7">
        <v>198.54</v>
      </c>
      <c r="E52" s="7">
        <v>34.5</v>
      </c>
      <c r="F52" s="7">
        <v>7.5</v>
      </c>
      <c r="G52" s="7">
        <v>155.1</v>
      </c>
      <c r="H52" s="7">
        <v>197.1</v>
      </c>
      <c r="I52" s="7">
        <v>12500</v>
      </c>
      <c r="J52" s="7" t="s">
        <v>12</v>
      </c>
      <c r="K52" s="7">
        <f t="shared" si="8"/>
        <v>1</v>
      </c>
    </row>
    <row r="53" spans="1:27" x14ac:dyDescent="0.3">
      <c r="A53" s="7" t="s">
        <v>14</v>
      </c>
      <c r="B53" s="7">
        <v>1.071</v>
      </c>
      <c r="C53" s="7">
        <v>-135.53</v>
      </c>
      <c r="D53" s="7">
        <v>188.33</v>
      </c>
      <c r="E53" s="7">
        <v>34.9</v>
      </c>
      <c r="F53" s="7">
        <v>9.9</v>
      </c>
      <c r="G53" s="7">
        <v>181.1</v>
      </c>
      <c r="H53" s="7">
        <v>225.9</v>
      </c>
      <c r="I53" s="7">
        <v>12602</v>
      </c>
      <c r="J53" s="7" t="s">
        <v>12</v>
      </c>
      <c r="K53" s="7">
        <f t="shared" ref="K53:K82" si="9">IF(J:J="Success",1,IF(J:J="Fail",0,""))</f>
        <v>1</v>
      </c>
    </row>
    <row r="54" spans="1:27" x14ac:dyDescent="0.3">
      <c r="A54" s="7" t="s">
        <v>14</v>
      </c>
      <c r="B54" s="7">
        <v>0.98799999999999999</v>
      </c>
      <c r="C54" s="7">
        <v>-115.9</v>
      </c>
      <c r="D54" s="7">
        <v>245.28</v>
      </c>
      <c r="E54" s="7">
        <v>36.299999999999997</v>
      </c>
      <c r="F54" s="7">
        <v>15.8</v>
      </c>
      <c r="G54" s="7">
        <v>101.6</v>
      </c>
      <c r="H54" s="7">
        <v>153.69999999999999</v>
      </c>
      <c r="I54" s="7">
        <v>11939</v>
      </c>
      <c r="J54" s="7" t="s">
        <v>12</v>
      </c>
      <c r="K54" s="7">
        <f t="shared" si="9"/>
        <v>1</v>
      </c>
    </row>
    <row r="55" spans="1:27" x14ac:dyDescent="0.3">
      <c r="A55" s="7" t="s">
        <v>14</v>
      </c>
      <c r="B55" s="7">
        <v>1.099</v>
      </c>
      <c r="C55" s="7">
        <v>-33.6</v>
      </c>
      <c r="D55" s="7">
        <v>204.4</v>
      </c>
      <c r="E55" s="7">
        <v>32.1</v>
      </c>
      <c r="F55" s="7">
        <v>11.6</v>
      </c>
      <c r="G55" s="7">
        <v>95</v>
      </c>
      <c r="H55" s="7">
        <v>138.69999999999999</v>
      </c>
      <c r="I55" s="7">
        <v>11251</v>
      </c>
      <c r="J55" s="7" t="s">
        <v>12</v>
      </c>
      <c r="K55" s="7">
        <f t="shared" si="9"/>
        <v>1</v>
      </c>
    </row>
    <row r="56" spans="1:27" x14ac:dyDescent="0.3">
      <c r="A56" s="7" t="s">
        <v>14</v>
      </c>
      <c r="B56" s="7">
        <v>1.284</v>
      </c>
      <c r="C56" s="7">
        <v>-123.49</v>
      </c>
      <c r="D56" s="7">
        <v>177.36</v>
      </c>
      <c r="E56" s="7">
        <v>45.6</v>
      </c>
      <c r="F56" s="7">
        <v>12.5</v>
      </c>
      <c r="G56" s="7">
        <v>95.4</v>
      </c>
      <c r="H56" s="7">
        <v>153.5</v>
      </c>
      <c r="I56" s="7">
        <v>12134</v>
      </c>
      <c r="J56" s="7" t="s">
        <v>12</v>
      </c>
      <c r="K56" s="7">
        <f t="shared" si="9"/>
        <v>1</v>
      </c>
    </row>
    <row r="57" spans="1:27" x14ac:dyDescent="0.3">
      <c r="A57" s="7" t="s">
        <v>14</v>
      </c>
      <c r="B57" s="7">
        <v>0.96399999999999997</v>
      </c>
      <c r="C57" s="7">
        <v>-55.86</v>
      </c>
      <c r="D57" s="7">
        <v>199.02</v>
      </c>
      <c r="E57" s="7">
        <v>36.6</v>
      </c>
      <c r="F57" s="7">
        <v>9.1999999999999993</v>
      </c>
      <c r="G57" s="7">
        <v>5.3</v>
      </c>
      <c r="H57" s="7">
        <v>51.1</v>
      </c>
      <c r="I57" s="7">
        <v>12340</v>
      </c>
      <c r="J57" s="7" t="s">
        <v>12</v>
      </c>
      <c r="K57" s="7">
        <f t="shared" si="9"/>
        <v>1</v>
      </c>
    </row>
    <row r="58" spans="1:27" x14ac:dyDescent="0.3">
      <c r="A58" s="7" t="s">
        <v>14</v>
      </c>
      <c r="B58" s="7">
        <v>1.012</v>
      </c>
      <c r="C58" s="7">
        <v>-105.34</v>
      </c>
      <c r="D58" s="7">
        <v>239.23</v>
      </c>
      <c r="E58" s="7">
        <v>35.5</v>
      </c>
      <c r="F58" s="7">
        <v>14.2</v>
      </c>
      <c r="G58" s="7">
        <v>86.9</v>
      </c>
      <c r="H58" s="7">
        <v>136.6</v>
      </c>
      <c r="I58" s="7">
        <v>11985</v>
      </c>
      <c r="J58" s="7" t="s">
        <v>12</v>
      </c>
      <c r="K58" s="7">
        <f t="shared" si="9"/>
        <v>1</v>
      </c>
    </row>
    <row r="59" spans="1:27" x14ac:dyDescent="0.3">
      <c r="A59" s="7" t="s">
        <v>14</v>
      </c>
      <c r="B59" s="7">
        <v>0.997</v>
      </c>
      <c r="C59" s="7">
        <v>-57.78</v>
      </c>
      <c r="D59" s="7">
        <v>177.48</v>
      </c>
      <c r="E59" s="7">
        <v>40.4</v>
      </c>
      <c r="F59" s="7">
        <v>12.5</v>
      </c>
      <c r="G59" s="7">
        <v>83.5</v>
      </c>
      <c r="H59" s="7">
        <v>136.4</v>
      </c>
      <c r="I59" s="7">
        <v>11905</v>
      </c>
      <c r="J59" s="7" t="s">
        <v>12</v>
      </c>
      <c r="K59" s="7">
        <f t="shared" si="9"/>
        <v>1</v>
      </c>
    </row>
    <row r="60" spans="1:27" x14ac:dyDescent="0.3">
      <c r="A60" s="7" t="s">
        <v>14</v>
      </c>
      <c r="B60" s="7">
        <v>1.121</v>
      </c>
      <c r="C60" s="7">
        <v>-84.91</v>
      </c>
      <c r="D60" s="7">
        <v>238.04</v>
      </c>
      <c r="E60" s="7">
        <v>40.5</v>
      </c>
      <c r="F60" s="7">
        <v>10.199999999999999</v>
      </c>
      <c r="G60" s="7">
        <v>5.9</v>
      </c>
      <c r="H60" s="7">
        <v>56.6</v>
      </c>
      <c r="I60" s="7">
        <v>11371</v>
      </c>
      <c r="J60" s="7" t="s">
        <v>12</v>
      </c>
      <c r="K60" s="7">
        <f t="shared" si="9"/>
        <v>1</v>
      </c>
    </row>
    <row r="61" spans="1:27" x14ac:dyDescent="0.3">
      <c r="A61" s="7" t="s">
        <v>14</v>
      </c>
      <c r="B61" s="7">
        <v>1.0089999999999999</v>
      </c>
      <c r="C61" s="7">
        <v>-135.55000000000001</v>
      </c>
      <c r="D61" s="7">
        <v>180.11</v>
      </c>
      <c r="E61" s="7">
        <v>39.5</v>
      </c>
      <c r="F61" s="7">
        <v>8.6</v>
      </c>
      <c r="G61" s="7">
        <v>71.099999999999994</v>
      </c>
      <c r="H61" s="7">
        <v>119.2</v>
      </c>
      <c r="I61" s="7">
        <v>12763</v>
      </c>
      <c r="J61" s="7" t="s">
        <v>12</v>
      </c>
      <c r="K61" s="7">
        <f t="shared" si="9"/>
        <v>1</v>
      </c>
    </row>
    <row r="62" spans="1:27" x14ac:dyDescent="0.3">
      <c r="A62" s="7" t="s">
        <v>14</v>
      </c>
      <c r="B62" s="7">
        <v>1.2290000000000001</v>
      </c>
      <c r="C62" s="7">
        <v>-134.6</v>
      </c>
      <c r="D62" s="7">
        <v>248.1</v>
      </c>
      <c r="E62" s="7">
        <v>38.799999999999997</v>
      </c>
      <c r="F62" s="7">
        <v>10.5</v>
      </c>
      <c r="G62" s="7">
        <v>179</v>
      </c>
      <c r="H62" s="7">
        <v>228.3</v>
      </c>
      <c r="I62" s="7">
        <v>11970</v>
      </c>
      <c r="J62" s="7" t="s">
        <v>12</v>
      </c>
      <c r="K62" s="7">
        <f t="shared" si="9"/>
        <v>1</v>
      </c>
    </row>
    <row r="63" spans="1:27" x14ac:dyDescent="0.3">
      <c r="A63" s="7" t="s">
        <v>15</v>
      </c>
      <c r="B63" s="7">
        <v>1.123</v>
      </c>
      <c r="C63" s="7">
        <v>-133.04</v>
      </c>
      <c r="D63" s="7">
        <v>218.88</v>
      </c>
      <c r="E63" s="7">
        <v>34.200000000000003</v>
      </c>
      <c r="F63" s="7">
        <v>9.1</v>
      </c>
      <c r="G63" s="7">
        <v>4.7</v>
      </c>
      <c r="H63" s="7">
        <v>48</v>
      </c>
      <c r="I63" s="7">
        <v>10406</v>
      </c>
      <c r="J63" s="7" t="s">
        <v>12</v>
      </c>
      <c r="K63" s="7">
        <f t="shared" si="9"/>
        <v>1</v>
      </c>
    </row>
    <row r="64" spans="1:27" x14ac:dyDescent="0.3">
      <c r="A64" s="7" t="s">
        <v>15</v>
      </c>
      <c r="B64" s="7">
        <v>1.228</v>
      </c>
      <c r="C64" s="7">
        <v>-81.709999999999994</v>
      </c>
      <c r="D64" s="7">
        <v>230.44</v>
      </c>
      <c r="E64" s="7">
        <v>35.5</v>
      </c>
      <c r="F64" s="7">
        <v>9.4</v>
      </c>
      <c r="G64" s="7">
        <v>94.4</v>
      </c>
      <c r="H64" s="7">
        <v>139.30000000000001</v>
      </c>
      <c r="I64" s="7">
        <v>10994</v>
      </c>
      <c r="J64" s="7" t="s">
        <v>12</v>
      </c>
      <c r="K64" s="7">
        <f t="shared" si="9"/>
        <v>1</v>
      </c>
      <c r="AA64" t="str">
        <f>IF(AB:AB="Success",1,IF(AB:AB="Fail",0,""))</f>
        <v/>
      </c>
    </row>
    <row r="65" spans="1:27" x14ac:dyDescent="0.3">
      <c r="A65" s="7" t="s">
        <v>15</v>
      </c>
      <c r="B65" s="7">
        <v>1.1240000000000001</v>
      </c>
      <c r="C65" s="7">
        <v>-133.13999999999999</v>
      </c>
      <c r="D65" s="7">
        <v>179.23</v>
      </c>
      <c r="E65" s="7">
        <v>33.799999999999997</v>
      </c>
      <c r="F65" s="7">
        <v>10.1</v>
      </c>
      <c r="G65" s="7">
        <v>4.7</v>
      </c>
      <c r="H65" s="7">
        <v>48.6</v>
      </c>
      <c r="I65" s="7">
        <v>11051</v>
      </c>
      <c r="J65" s="7" t="s">
        <v>12</v>
      </c>
      <c r="K65" s="7">
        <f t="shared" si="9"/>
        <v>1</v>
      </c>
      <c r="AA65" t="str">
        <f>IF(AB:AB="Success",1,IF(AB:AB="Fail",0,""))</f>
        <v/>
      </c>
    </row>
    <row r="66" spans="1:27" x14ac:dyDescent="0.3">
      <c r="A66" s="7" t="s">
        <v>15</v>
      </c>
      <c r="B66" s="7">
        <v>0.94599999999999995</v>
      </c>
      <c r="C66" s="7">
        <v>-94.63</v>
      </c>
      <c r="D66" s="7">
        <v>250.81</v>
      </c>
      <c r="E66" s="7">
        <v>46.2</v>
      </c>
      <c r="F66" s="7">
        <v>19.2</v>
      </c>
      <c r="G66" s="7">
        <v>182.2</v>
      </c>
      <c r="H66" s="7">
        <v>247.6</v>
      </c>
      <c r="I66" s="7">
        <v>11023</v>
      </c>
      <c r="J66" s="7" t="s">
        <v>12</v>
      </c>
      <c r="K66" s="7">
        <f t="shared" si="9"/>
        <v>1</v>
      </c>
      <c r="AA66" t="str">
        <f>IF(AB:AB="Success",1,IF(AB:AB="Fail",0,""))</f>
        <v/>
      </c>
    </row>
    <row r="67" spans="1:27" x14ac:dyDescent="0.3">
      <c r="A67" s="7" t="s">
        <v>15</v>
      </c>
      <c r="B67" s="7">
        <v>0.99099999999999999</v>
      </c>
      <c r="C67" s="7">
        <v>-104.79</v>
      </c>
      <c r="D67" s="7">
        <v>198.4</v>
      </c>
      <c r="E67" s="7">
        <v>38.700000000000003</v>
      </c>
      <c r="F67" s="7">
        <v>10.8</v>
      </c>
      <c r="G67" s="7">
        <v>96.9</v>
      </c>
      <c r="H67" s="7">
        <v>146.4</v>
      </c>
      <c r="I67" s="7">
        <v>11283</v>
      </c>
      <c r="J67" s="7" t="s">
        <v>12</v>
      </c>
      <c r="K67" s="7">
        <f t="shared" si="9"/>
        <v>1</v>
      </c>
      <c r="AA67" t="str">
        <f>IF(AB:AB="Success",1,IF(AB:AB="Fail",0,""))</f>
        <v/>
      </c>
    </row>
    <row r="68" spans="1:27" x14ac:dyDescent="0.3">
      <c r="A68" s="7" t="s">
        <v>15</v>
      </c>
      <c r="B68" s="7">
        <v>0.84299999999999997</v>
      </c>
      <c r="C68" s="7">
        <v>-98.89</v>
      </c>
      <c r="D68" s="7">
        <v>228.24</v>
      </c>
      <c r="E68" s="7">
        <v>38.200000000000003</v>
      </c>
      <c r="F68" s="7">
        <v>9</v>
      </c>
      <c r="G68" s="7">
        <v>98.7</v>
      </c>
      <c r="H68" s="7">
        <v>145.9</v>
      </c>
      <c r="I68" s="7">
        <v>11111</v>
      </c>
      <c r="J68" s="7" t="s">
        <v>11</v>
      </c>
      <c r="K68" s="7">
        <f t="shared" si="9"/>
        <v>0</v>
      </c>
      <c r="AA68" t="str">
        <f>IF(AB:AB="Success",1,IF(AB:AB="Fail",0,""))</f>
        <v/>
      </c>
    </row>
    <row r="69" spans="1:27" x14ac:dyDescent="0.3">
      <c r="A69" s="7" t="s">
        <v>15</v>
      </c>
      <c r="B69" s="7">
        <v>1.101</v>
      </c>
      <c r="C69" s="7">
        <v>-89.58</v>
      </c>
      <c r="D69" s="7">
        <v>171.63</v>
      </c>
      <c r="E69" s="7">
        <v>46.9</v>
      </c>
      <c r="F69" s="7">
        <v>9.8000000000000007</v>
      </c>
      <c r="G69" s="7">
        <v>102.7</v>
      </c>
      <c r="H69" s="7">
        <v>159.4</v>
      </c>
      <c r="I69" s="7">
        <v>11697</v>
      </c>
      <c r="J69" s="7" t="s">
        <v>12</v>
      </c>
      <c r="K69" s="7">
        <f t="shared" si="9"/>
        <v>1</v>
      </c>
    </row>
    <row r="70" spans="1:27" x14ac:dyDescent="0.3">
      <c r="A70" s="7" t="s">
        <v>15</v>
      </c>
      <c r="B70" s="7">
        <v>1.1279999999999999</v>
      </c>
      <c r="C70" s="7">
        <v>-88.78</v>
      </c>
      <c r="D70" s="7">
        <v>169.96</v>
      </c>
      <c r="E70" s="7">
        <v>42</v>
      </c>
      <c r="F70" s="7">
        <v>13.1</v>
      </c>
      <c r="G70" s="7">
        <v>88.1</v>
      </c>
      <c r="H70" s="7">
        <v>143.19999999999999</v>
      </c>
      <c r="I70" s="7">
        <v>11653</v>
      </c>
      <c r="J70" s="7" t="s">
        <v>12</v>
      </c>
      <c r="K70" s="7">
        <f t="shared" si="9"/>
        <v>1</v>
      </c>
    </row>
    <row r="71" spans="1:27" x14ac:dyDescent="0.3">
      <c r="A71" s="7" t="s">
        <v>15</v>
      </c>
      <c r="B71" s="7">
        <v>1.2390000000000001</v>
      </c>
      <c r="C71" s="7">
        <v>-64.3</v>
      </c>
      <c r="D71" s="7">
        <v>178.46</v>
      </c>
      <c r="E71" s="7">
        <v>37</v>
      </c>
      <c r="F71" s="7">
        <v>14.4</v>
      </c>
      <c r="G71" s="7">
        <v>88.8</v>
      </c>
      <c r="H71" s="7">
        <v>140.19999999999999</v>
      </c>
      <c r="I71" s="7">
        <v>11932</v>
      </c>
      <c r="J71" s="7" t="s">
        <v>12</v>
      </c>
      <c r="K71" s="7">
        <f t="shared" si="9"/>
        <v>1</v>
      </c>
    </row>
    <row r="72" spans="1:27" x14ac:dyDescent="0.3">
      <c r="A72" s="7" t="s">
        <v>15</v>
      </c>
      <c r="B72" s="7">
        <v>1.103</v>
      </c>
      <c r="C72" s="7">
        <v>-96.32</v>
      </c>
      <c r="D72" s="7">
        <v>244.11</v>
      </c>
      <c r="E72" s="7">
        <v>38.700000000000003</v>
      </c>
      <c r="F72" s="7">
        <v>16.100000000000001</v>
      </c>
      <c r="G72" s="7">
        <v>169.4</v>
      </c>
      <c r="H72" s="7">
        <v>224.2</v>
      </c>
      <c r="I72" s="7">
        <v>11031</v>
      </c>
      <c r="J72" s="7" t="s">
        <v>12</v>
      </c>
      <c r="K72" s="7">
        <f t="shared" si="9"/>
        <v>1</v>
      </c>
    </row>
    <row r="73" spans="1:27" x14ac:dyDescent="0.3">
      <c r="A73" s="7" t="s">
        <v>15</v>
      </c>
      <c r="B73" s="7">
        <v>0.998</v>
      </c>
      <c r="C73" s="7">
        <v>-77.12</v>
      </c>
      <c r="D73" s="7">
        <v>198.64</v>
      </c>
      <c r="E73" s="7">
        <v>41.8</v>
      </c>
      <c r="F73" s="7">
        <v>10.1</v>
      </c>
      <c r="G73" s="7">
        <v>102.5</v>
      </c>
      <c r="H73" s="7">
        <v>154.4</v>
      </c>
      <c r="I73" s="7">
        <v>11639</v>
      </c>
      <c r="J73" s="7" t="s">
        <v>12</v>
      </c>
      <c r="K73" s="7">
        <f t="shared" si="9"/>
        <v>1</v>
      </c>
    </row>
    <row r="74" spans="1:27" x14ac:dyDescent="0.3">
      <c r="A74" s="7" t="s">
        <v>15</v>
      </c>
      <c r="B74" s="7">
        <v>1.034</v>
      </c>
      <c r="C74" s="7">
        <v>-80.040000000000006</v>
      </c>
      <c r="D74" s="7">
        <v>233.76</v>
      </c>
      <c r="E74" s="7">
        <v>41.9</v>
      </c>
      <c r="F74" s="7">
        <v>12.5</v>
      </c>
      <c r="G74" s="7">
        <v>5.7</v>
      </c>
      <c r="H74" s="7">
        <v>60.1</v>
      </c>
      <c r="I74" s="7">
        <v>11359</v>
      </c>
      <c r="J74" s="7" t="s">
        <v>12</v>
      </c>
      <c r="K74" s="7">
        <f t="shared" si="9"/>
        <v>1</v>
      </c>
    </row>
    <row r="75" spans="1:27" x14ac:dyDescent="0.3">
      <c r="A75" s="7" t="s">
        <v>15</v>
      </c>
      <c r="B75" s="7">
        <v>0.95599999999999996</v>
      </c>
      <c r="C75" s="7">
        <v>-99.63</v>
      </c>
      <c r="D75" s="7">
        <v>239.13</v>
      </c>
      <c r="E75" s="7">
        <v>35.1</v>
      </c>
      <c r="F75" s="7">
        <v>13.9</v>
      </c>
      <c r="G75" s="7">
        <v>92.1</v>
      </c>
      <c r="H75" s="7">
        <v>141.1</v>
      </c>
      <c r="I75" s="7">
        <v>10880</v>
      </c>
      <c r="J75" s="7" t="s">
        <v>12</v>
      </c>
      <c r="K75" s="7">
        <f t="shared" si="9"/>
        <v>1</v>
      </c>
    </row>
    <row r="76" spans="1:27" x14ac:dyDescent="0.3">
      <c r="A76" s="7" t="s">
        <v>15</v>
      </c>
      <c r="B76" s="7">
        <v>1.206</v>
      </c>
      <c r="C76" s="7">
        <v>-112.76</v>
      </c>
      <c r="D76" s="7">
        <v>223.49</v>
      </c>
      <c r="E76" s="7">
        <v>35</v>
      </c>
      <c r="F76" s="7">
        <v>10.5</v>
      </c>
      <c r="G76" s="7">
        <v>157.9</v>
      </c>
      <c r="H76" s="7">
        <v>203.4</v>
      </c>
      <c r="I76" s="7">
        <v>11060</v>
      </c>
      <c r="J76" s="7" t="s">
        <v>12</v>
      </c>
      <c r="K76" s="7">
        <f t="shared" si="9"/>
        <v>1</v>
      </c>
    </row>
    <row r="77" spans="1:27" x14ac:dyDescent="0.3">
      <c r="A77" s="7" t="s">
        <v>15</v>
      </c>
      <c r="B77" s="7">
        <v>1.1020000000000001</v>
      </c>
      <c r="C77" s="7">
        <v>-95.11</v>
      </c>
      <c r="D77" s="7">
        <v>189.91</v>
      </c>
      <c r="E77" s="7">
        <v>40.299999999999997</v>
      </c>
      <c r="F77" s="7">
        <v>9.6</v>
      </c>
      <c r="G77" s="7">
        <v>92</v>
      </c>
      <c r="H77" s="7">
        <v>141.9</v>
      </c>
      <c r="I77" s="7">
        <v>11498</v>
      </c>
      <c r="J77" s="7" t="s">
        <v>12</v>
      </c>
      <c r="K77" s="7">
        <f t="shared" si="9"/>
        <v>1</v>
      </c>
    </row>
    <row r="78" spans="1:27" x14ac:dyDescent="0.3">
      <c r="A78" s="7" t="s">
        <v>15</v>
      </c>
      <c r="B78" s="7">
        <v>1.069</v>
      </c>
      <c r="C78" s="7">
        <v>-85.45</v>
      </c>
      <c r="D78" s="7">
        <v>179.77</v>
      </c>
      <c r="E78" s="7">
        <v>36.5</v>
      </c>
      <c r="F78" s="7">
        <v>12.9</v>
      </c>
      <c r="G78" s="7">
        <v>88.2</v>
      </c>
      <c r="H78" s="7">
        <v>137.6</v>
      </c>
      <c r="I78" s="7">
        <v>11606</v>
      </c>
      <c r="J78" s="7" t="s">
        <v>12</v>
      </c>
      <c r="K78" s="7">
        <f t="shared" si="9"/>
        <v>1</v>
      </c>
    </row>
    <row r="79" spans="1:27" x14ac:dyDescent="0.3">
      <c r="A79" s="7" t="s">
        <v>15</v>
      </c>
      <c r="B79" s="7">
        <v>1.0549999999999999</v>
      </c>
      <c r="C79" s="7">
        <v>-88.04</v>
      </c>
      <c r="D79" s="7">
        <v>162.54</v>
      </c>
      <c r="E79" s="7">
        <v>36.299999999999997</v>
      </c>
      <c r="F79" s="7">
        <v>9.4</v>
      </c>
      <c r="G79" s="7">
        <v>89.4</v>
      </c>
      <c r="H79" s="7">
        <v>135.1</v>
      </c>
      <c r="I79" s="7">
        <v>11793</v>
      </c>
      <c r="J79" s="7" t="s">
        <v>12</v>
      </c>
      <c r="K79" s="7">
        <f t="shared" si="9"/>
        <v>1</v>
      </c>
    </row>
    <row r="80" spans="1:27" x14ac:dyDescent="0.3">
      <c r="A80" s="7" t="s">
        <v>15</v>
      </c>
      <c r="B80" s="7">
        <v>1.069</v>
      </c>
      <c r="C80" s="7">
        <v>-53.56</v>
      </c>
      <c r="D80" s="7">
        <v>247.62</v>
      </c>
      <c r="E80" s="7">
        <v>38.200000000000003</v>
      </c>
      <c r="F80" s="7">
        <v>10.8</v>
      </c>
      <c r="G80" s="7">
        <v>81.900000000000006</v>
      </c>
      <c r="H80" s="7">
        <v>130.9</v>
      </c>
      <c r="I80" s="7">
        <v>11425</v>
      </c>
      <c r="J80" s="7" t="s">
        <v>12</v>
      </c>
      <c r="K80" s="7">
        <f t="shared" si="9"/>
        <v>1</v>
      </c>
    </row>
    <row r="81" spans="1:11" x14ac:dyDescent="0.3">
      <c r="A81" s="7" t="s">
        <v>15</v>
      </c>
      <c r="B81" s="7">
        <v>0.94399999999999995</v>
      </c>
      <c r="C81" s="7">
        <v>-104.74</v>
      </c>
      <c r="D81" s="7">
        <v>205.03</v>
      </c>
      <c r="E81" s="7">
        <v>35.9</v>
      </c>
      <c r="F81" s="7">
        <v>6.3</v>
      </c>
      <c r="G81" s="7">
        <v>100.2</v>
      </c>
      <c r="H81" s="7">
        <v>142.4</v>
      </c>
      <c r="I81" s="7">
        <v>11076</v>
      </c>
      <c r="J81" s="7" t="s">
        <v>12</v>
      </c>
      <c r="K81" s="7">
        <f t="shared" si="9"/>
        <v>1</v>
      </c>
    </row>
    <row r="82" spans="1:11" x14ac:dyDescent="0.3">
      <c r="A82" s="7" t="s">
        <v>15</v>
      </c>
      <c r="B82" s="7">
        <v>0.85299999999999998</v>
      </c>
      <c r="C82" s="7">
        <v>-91.73</v>
      </c>
      <c r="D82" s="7">
        <v>205.59</v>
      </c>
      <c r="E82" s="7">
        <v>35.5</v>
      </c>
      <c r="F82" s="7">
        <v>10.9</v>
      </c>
      <c r="G82" s="7">
        <v>101.7</v>
      </c>
      <c r="H82" s="7">
        <v>148.1</v>
      </c>
      <c r="I82" s="7">
        <v>10644</v>
      </c>
      <c r="J82" s="7" t="s">
        <v>12</v>
      </c>
      <c r="K82" s="7">
        <f t="shared" si="9"/>
        <v>1</v>
      </c>
    </row>
    <row r="83" spans="1:11" x14ac:dyDescent="0.3">
      <c r="A83" s="19" t="s">
        <v>29</v>
      </c>
      <c r="B83" s="20"/>
      <c r="C83" s="20"/>
      <c r="D83" s="20"/>
      <c r="E83" s="20"/>
      <c r="F83" s="20"/>
      <c r="G83" s="20"/>
      <c r="H83" s="20"/>
      <c r="I83" s="20"/>
      <c r="J83" s="21"/>
      <c r="K83" s="8">
        <f>AVERAGE(K5:K82)</f>
        <v>0.9358974358974359</v>
      </c>
    </row>
  </sheetData>
  <mergeCells count="12">
    <mergeCell ref="AM24:AQ24"/>
    <mergeCell ref="A83:J83"/>
    <mergeCell ref="V2:V3"/>
    <mergeCell ref="W2:X2"/>
    <mergeCell ref="Y2:Z2"/>
    <mergeCell ref="AA2:AA3"/>
    <mergeCell ref="V24:Z24"/>
    <mergeCell ref="AM1:AR1"/>
    <mergeCell ref="AM2:AM3"/>
    <mergeCell ref="AN2:AO2"/>
    <mergeCell ref="AP2:AQ2"/>
    <mergeCell ref="AR2:AR3"/>
  </mergeCells>
  <pageMargins left="0.7" right="0.7" top="0.75" bottom="0.75" header="0.3" footer="0.3"/>
  <ignoredErrors>
    <ignoredError sqref="O3 O4:O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hasil_pick_place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Diki Darmawan</cp:lastModifiedBy>
  <dcterms:created xsi:type="dcterms:W3CDTF">2026-07-11T13:57:13Z</dcterms:created>
  <dcterms:modified xsi:type="dcterms:W3CDTF">2026-07-15T07:18:49Z</dcterms:modified>
</cp:coreProperties>
</file>